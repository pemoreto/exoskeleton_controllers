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4bc4534b13992b7/MUSTAFA/ARBEIT/5. Studentische Hilfskraft/Codes/safeBO - Stability (osim) - FM/results_FM_MoS_VPP_R2/"/>
    </mc:Choice>
  </mc:AlternateContent>
  <xr:revisionPtr revIDLastSave="72" documentId="11_406990A5D3705972D7792F11595ED87656CC36B8" xr6:coauthVersionLast="47" xr6:coauthVersionMax="47" xr10:uidLastSave="{EC2FCEEC-7FD3-40D0-8FC7-BBA51371C3A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D2" i="1"/>
  <c r="D88" i="1"/>
  <c r="D75" i="1"/>
  <c r="D57" i="1"/>
  <c r="D33" i="1"/>
  <c r="D21" i="1"/>
  <c r="D5" i="1"/>
  <c r="D3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<sst xmlns="http://schemas.openxmlformats.org/spreadsheetml/2006/main" count="358" uniqueCount="125">
  <si>
    <t>Datei</t>
  </si>
  <si>
    <t>Stabil_EW</t>
  </si>
  <si>
    <t>Stabil_COM</t>
  </si>
  <si>
    <t>MoS_min</t>
  </si>
  <si>
    <t>MoS_max</t>
  </si>
  <si>
    <t>MoS_mean</t>
  </si>
  <si>
    <t>bt_min</t>
  </si>
  <si>
    <t>bt_max</t>
  </si>
  <si>
    <t>bt_mean</t>
  </si>
  <si>
    <t>Mean R2 Right Leg</t>
  </si>
  <si>
    <t>Mean R2 Left Leg</t>
  </si>
  <si>
    <t>100_safeBO__H0918v3</t>
  </si>
  <si>
    <t>Ja</t>
  </si>
  <si>
    <t>10_safeBO__H0918v3</t>
  </si>
  <si>
    <t>11_safeBO__H0918v3</t>
  </si>
  <si>
    <t>Nein</t>
  </si>
  <si>
    <t>12_safeBO__H0918v3</t>
  </si>
  <si>
    <t>13_safeBO__H0918v3</t>
  </si>
  <si>
    <t>-inf</t>
  </si>
  <si>
    <t>14_safeBO__H0918v3</t>
  </si>
  <si>
    <t>15_safeBO__H0918v3</t>
  </si>
  <si>
    <t>16_safeBO__H0918v3</t>
  </si>
  <si>
    <t>17_safeBO__H0918v3</t>
  </si>
  <si>
    <t>18_safeBO__H0918v3</t>
  </si>
  <si>
    <t>19_safeBO__H0918v3</t>
  </si>
  <si>
    <t>1_safeBO__H0918v3</t>
  </si>
  <si>
    <t>20_safeBO__H0918v3</t>
  </si>
  <si>
    <t>21_safeBO__H0918v3</t>
  </si>
  <si>
    <t>22_safeBO__H0918v3</t>
  </si>
  <si>
    <t>23_safeBO__H0918v3</t>
  </si>
  <si>
    <t>24_safeBO__H0918v3</t>
  </si>
  <si>
    <t>25_safeBO__H0918v3</t>
  </si>
  <si>
    <t>26_safeBO__H0918v3</t>
  </si>
  <si>
    <t>27_safeBO__H0918v3</t>
  </si>
  <si>
    <t>28_safeBO__H0918v3</t>
  </si>
  <si>
    <t>29_safeBO__H0918v3</t>
  </si>
  <si>
    <t>2_safeBO__H0918v3</t>
  </si>
  <si>
    <t>30_safeBO__H0918v3</t>
  </si>
  <si>
    <t>31_safeBO__H0918v3</t>
  </si>
  <si>
    <t>32_safeBO__H0918v3</t>
  </si>
  <si>
    <t>33_safeBO__H0918v3</t>
  </si>
  <si>
    <t>34_safeBO__H0918v3</t>
  </si>
  <si>
    <t>35_safeBO__H0918v3</t>
  </si>
  <si>
    <t>36_safeBO__H0918v3</t>
  </si>
  <si>
    <t>37_safeBO__H0918v3</t>
  </si>
  <si>
    <t>38_safeBO__H0918v3</t>
  </si>
  <si>
    <t>39_safeBO__H0918v3</t>
  </si>
  <si>
    <t>3_safeBO__H0918v3</t>
  </si>
  <si>
    <t>40_safeBO__H0918v3</t>
  </si>
  <si>
    <t>41_safeBO__H0918v3</t>
  </si>
  <si>
    <t>42_safeBO__H0918v3</t>
  </si>
  <si>
    <t>43_safeBO__H0918v3</t>
  </si>
  <si>
    <t>44_safeBO__H0918v3</t>
  </si>
  <si>
    <t>45_safeBO__H0918v3</t>
  </si>
  <si>
    <t>46_safeBO__H0918v3</t>
  </si>
  <si>
    <t>47_safeBO__H0918v3</t>
  </si>
  <si>
    <t>48_safeBO__H0918v3</t>
  </si>
  <si>
    <t>49_safeBO__H0918v3</t>
  </si>
  <si>
    <t>4_safeBO__H0918v3</t>
  </si>
  <si>
    <t>50_safeBO__H0918v3</t>
  </si>
  <si>
    <t>51_safeBO__H0918v3</t>
  </si>
  <si>
    <t>52_safeBO__H0918v3</t>
  </si>
  <si>
    <t>53_safeBO__H0918v3</t>
  </si>
  <si>
    <t>54_safeBO__H0918v3</t>
  </si>
  <si>
    <t>55_safeBO__H0918v3</t>
  </si>
  <si>
    <t>56_safeBO__H0918v3</t>
  </si>
  <si>
    <t>57_safeBO__H0918v3</t>
  </si>
  <si>
    <t>58_safeBO__H0918v3</t>
  </si>
  <si>
    <t>59_safeBO__H0918v3</t>
  </si>
  <si>
    <t>5_safeBO__H0918v3</t>
  </si>
  <si>
    <t>60_safeBO__H0918v3</t>
  </si>
  <si>
    <t>61_safeBO__H0918v3</t>
  </si>
  <si>
    <t>62_safeBO__H0918v3</t>
  </si>
  <si>
    <t>63_safeBO__H0918v3</t>
  </si>
  <si>
    <t>64_safeBO__H0918v3</t>
  </si>
  <si>
    <t>65_safeBO__H0918v3</t>
  </si>
  <si>
    <t>66_safeBO__H0918v3</t>
  </si>
  <si>
    <t>67_safeBO__H0918v3</t>
  </si>
  <si>
    <t>68_safeBO__H0918v3</t>
  </si>
  <si>
    <t>69_safeBO__H0918v3</t>
  </si>
  <si>
    <t>6_safeBO__H0918v3</t>
  </si>
  <si>
    <t>70_safeBO__H0918v3</t>
  </si>
  <si>
    <t>71_safeBO__H0918v3</t>
  </si>
  <si>
    <t>72_safeBO__H0918v3</t>
  </si>
  <si>
    <t>73_safeBO__H0918v3</t>
  </si>
  <si>
    <t>74_safeBO__H0918v3</t>
  </si>
  <si>
    <t>75_safeBO__H0918v3</t>
  </si>
  <si>
    <t>76_safeBO__H0918v3</t>
  </si>
  <si>
    <t>77_safeBO__H0918v3</t>
  </si>
  <si>
    <t>78_safeBO__H0918v3</t>
  </si>
  <si>
    <t>79_safeBO__H0918v3</t>
  </si>
  <si>
    <t>7_safeBO__H0918v3</t>
  </si>
  <si>
    <t>80_safeBO__H0918v3</t>
  </si>
  <si>
    <t>81_safeBO__H0918v3</t>
  </si>
  <si>
    <t>82_safeBO__H0918v3</t>
  </si>
  <si>
    <t>83_safeBO__H0918v3</t>
  </si>
  <si>
    <t>84_safeBO__H0918v3</t>
  </si>
  <si>
    <t>85_safeBO__H0918v3</t>
  </si>
  <si>
    <t>86_safeBO__H0918v3</t>
  </si>
  <si>
    <t>87_safeBO__H0918v3</t>
  </si>
  <si>
    <t>88_safeBO__H0918v3</t>
  </si>
  <si>
    <t>89_safeBO__H0918v3</t>
  </si>
  <si>
    <t>8_safeBO__H0918v3</t>
  </si>
  <si>
    <t>90_safeBO__H0918v3</t>
  </si>
  <si>
    <t>91_safeBO__H0918v3</t>
  </si>
  <si>
    <t>92_safeBO__H0918v3</t>
  </si>
  <si>
    <t>93_safeBO__H0918v3</t>
  </si>
  <si>
    <t>94_safeBO__H0918v3</t>
  </si>
  <si>
    <t>95_safeBO__H0918v3</t>
  </si>
  <si>
    <t>96_safeBO__H0918v3</t>
  </si>
  <si>
    <t>97_safeBO__H0918v3</t>
  </si>
  <si>
    <t>98_safeBO__H0918v3</t>
  </si>
  <si>
    <t>99_safeBO__H0918v3</t>
  </si>
  <si>
    <t>9_safeBO__H0918v3</t>
  </si>
  <si>
    <t>TOT MEAN R2</t>
  </si>
  <si>
    <t>Instabiler EW: 1.0538</t>
  </si>
  <si>
    <t>relativ gering</t>
  </si>
  <si>
    <t>Stabiler Bereich ~40% (Sehr kurz), ABER sim40 langer stabiler Bereich und trotzdem falsch detektiert</t>
  </si>
  <si>
    <t>Stabiler Bereich ~60%</t>
  </si>
  <si>
    <t>Stabiler Bereich ~50%</t>
  </si>
  <si>
    <t>Relativ gering</t>
  </si>
  <si>
    <t>Stabiler Bereich 25%</t>
  </si>
  <si>
    <t>Both Floquet and R2 failed. Inst EW: 1.21</t>
  </si>
  <si>
    <t>Inst EW: 1.1397</t>
  </si>
  <si>
    <t>3 inst EW: 1.3282 1.1011, 1.1011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</si>
</sst>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Standard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C1" zoomScale="108" zoomScaleNormal="140" workbookViewId="0">
      <selection activeCell="N6" sqref="N6"/>
    </sheetView>
  </sheetViews>
  <sheetFormatPr baseColWidth="10" defaultColWidth="9.1796875" defaultRowHeight="14.5" x14ac:dyDescent="0.35"/>
  <cols>
    <col min="1" max="1" width="20.7265625" bestFit="1" customWidth="1"/>
    <col min="2" max="2" width="10" bestFit="1" customWidth="1"/>
    <col min="3" max="3" width="11.453125" bestFit="1" customWidth="1"/>
    <col min="4" max="4" width="13" bestFit="1" customWidth="1"/>
    <col min="5" max="5" width="9.453125" bestFit="1" customWidth="1"/>
    <col min="6" max="6" width="9.7265625" bestFit="1" customWidth="1"/>
    <col min="7" max="7" width="11" bestFit="1" customWidth="1"/>
    <col min="8" max="8" width="8.7265625" hidden="1" customWidth="1"/>
    <col min="9" max="9" width="9" hidden="1" customWidth="1"/>
    <col min="10" max="10" width="8.81640625" hidden="1" customWidth="1"/>
    <col min="11" max="11" width="17.26953125" bestFit="1" customWidth="1"/>
    <col min="12" max="12" width="16.1796875" bestFit="1" customWidth="1"/>
    <col min="14" max="14" width="43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114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x14ac:dyDescent="0.35">
      <c r="A2" t="s">
        <v>11</v>
      </c>
      <c r="B2" t="s">
        <v>12</v>
      </c>
      <c r="C2" t="s">
        <v>12</v>
      </c>
      <c r="D2">
        <f t="shared" ref="D2:D33" si="0">AVERAGE(K2:L2)</f>
        <v>61.090600000000002</v>
      </c>
      <c r="E2">
        <v>-0.65039999999999998</v>
      </c>
      <c r="F2">
        <v>-9.3299999999999994E-2</v>
      </c>
      <c r="G2">
        <v>-0.31519999999999998</v>
      </c>
      <c r="H2">
        <v>-0.59619999999999995</v>
      </c>
      <c r="I2">
        <v>-9.6100000000000005E-2</v>
      </c>
      <c r="J2">
        <v>-0.32200000000000001</v>
      </c>
      <c r="K2">
        <v>54.658799999999999</v>
      </c>
      <c r="L2">
        <v>67.522400000000005</v>
      </c>
      <c r="N2">
        <f>CORREL(E2:E101,K2:K101)</f>
        <v>0.15339923497492672</v>
      </c>
      <c r="O2">
        <f>CORREL(F2:F101,K2:K101)</f>
        <v>-1.5176907529504773E-2</v>
      </c>
      <c r="P2">
        <f>CORREL(G2:G101,K2:K101)</f>
        <v>0.20684955672198252</v>
      </c>
    </row>
    <row r="3" spans="1:16" x14ac:dyDescent="0.35">
      <c r="A3" t="s">
        <v>13</v>
      </c>
      <c r="B3" t="s">
        <v>12</v>
      </c>
      <c r="C3" t="s">
        <v>12</v>
      </c>
      <c r="D3">
        <f t="shared" si="0"/>
        <v>6.3649000000000004</v>
      </c>
      <c r="E3">
        <v>-0.6522</v>
      </c>
      <c r="F3">
        <v>-7.4700000000000003E-2</v>
      </c>
      <c r="G3">
        <v>-0.31259999999999999</v>
      </c>
      <c r="H3">
        <v>-0.6028</v>
      </c>
      <c r="I3">
        <v>-8.9099999999999999E-2</v>
      </c>
      <c r="J3">
        <v>-0.32469999999999999</v>
      </c>
      <c r="K3">
        <v>19.8429</v>
      </c>
      <c r="L3">
        <v>-7.1131000000000002</v>
      </c>
    </row>
    <row r="4" spans="1:16" x14ac:dyDescent="0.35">
      <c r="A4" t="s">
        <v>14</v>
      </c>
      <c r="B4" t="s">
        <v>15</v>
      </c>
      <c r="C4" t="s">
        <v>15</v>
      </c>
      <c r="D4">
        <f t="shared" si="0"/>
        <v>-71128.842299999989</v>
      </c>
      <c r="E4">
        <v>-0.81240000000000001</v>
      </c>
      <c r="F4">
        <v>-2.7300000000000001E-2</v>
      </c>
      <c r="G4">
        <v>-0.37219999999999998</v>
      </c>
      <c r="H4">
        <v>-0.57740000000000002</v>
      </c>
      <c r="I4">
        <v>-4.1599999999999998E-2</v>
      </c>
      <c r="J4">
        <v>-0.3508</v>
      </c>
      <c r="K4">
        <v>-132319.74679999999</v>
      </c>
      <c r="L4">
        <v>-9937.9377999999997</v>
      </c>
    </row>
    <row r="5" spans="1:16" x14ac:dyDescent="0.35">
      <c r="A5" t="s">
        <v>16</v>
      </c>
      <c r="B5" t="s">
        <v>15</v>
      </c>
      <c r="C5" t="s">
        <v>15</v>
      </c>
      <c r="D5" t="e">
        <f t="shared" si="0"/>
        <v>#DIV/0!</v>
      </c>
      <c r="E5">
        <v>-0.92469999999999997</v>
      </c>
      <c r="F5">
        <v>-0.105</v>
      </c>
      <c r="G5">
        <v>-0.44779999999999998</v>
      </c>
      <c r="H5">
        <v>-0.89729999999999999</v>
      </c>
      <c r="I5">
        <v>-8.7999999999999995E-2</v>
      </c>
      <c r="J5">
        <v>-0.41170000000000001</v>
      </c>
    </row>
    <row r="6" spans="1:16" x14ac:dyDescent="0.35">
      <c r="A6" t="s">
        <v>17</v>
      </c>
      <c r="B6" t="s">
        <v>15</v>
      </c>
      <c r="C6" t="s">
        <v>15</v>
      </c>
      <c r="D6">
        <f t="shared" si="0"/>
        <v>-15497.3716</v>
      </c>
      <c r="E6">
        <v>-0.77049999999999996</v>
      </c>
      <c r="F6">
        <v>-6.08E-2</v>
      </c>
      <c r="G6">
        <v>-0.37569999999999998</v>
      </c>
      <c r="H6">
        <v>-0.57120000000000004</v>
      </c>
      <c r="I6">
        <v>-6.2199999999999998E-2</v>
      </c>
      <c r="J6">
        <v>-0.3296</v>
      </c>
      <c r="K6" t="s">
        <v>18</v>
      </c>
      <c r="L6">
        <v>-15497.3716</v>
      </c>
    </row>
    <row r="7" spans="1:16" x14ac:dyDescent="0.35">
      <c r="A7" t="s">
        <v>19</v>
      </c>
      <c r="B7" t="s">
        <v>15</v>
      </c>
      <c r="C7" t="s">
        <v>15</v>
      </c>
      <c r="D7">
        <f t="shared" si="0"/>
        <v>-48252.796199999997</v>
      </c>
      <c r="E7">
        <v>-0.89419999999999999</v>
      </c>
      <c r="F7">
        <v>1.23E-2</v>
      </c>
      <c r="G7">
        <v>-0.34939999999999999</v>
      </c>
      <c r="H7">
        <v>-0.63670000000000004</v>
      </c>
      <c r="I7">
        <v>1.5100000000000001E-2</v>
      </c>
      <c r="J7">
        <v>-0.34399999999999997</v>
      </c>
      <c r="K7" t="s">
        <v>18</v>
      </c>
      <c r="L7">
        <v>-48252.796199999997</v>
      </c>
    </row>
    <row r="8" spans="1:16" x14ac:dyDescent="0.35">
      <c r="A8" t="s">
        <v>20</v>
      </c>
      <c r="B8" t="s">
        <v>15</v>
      </c>
      <c r="C8" t="s">
        <v>15</v>
      </c>
      <c r="D8">
        <f t="shared" si="0"/>
        <v>-155192.98670000001</v>
      </c>
      <c r="E8">
        <v>-1.1616</v>
      </c>
      <c r="F8">
        <v>-3.3999999999999998E-3</v>
      </c>
      <c r="G8">
        <v>-0.35170000000000001</v>
      </c>
      <c r="H8">
        <v>-0.71830000000000005</v>
      </c>
      <c r="I8">
        <v>-4.1000000000000003E-3</v>
      </c>
      <c r="J8">
        <v>-0.35970000000000002</v>
      </c>
      <c r="K8">
        <v>-155192.98670000001</v>
      </c>
      <c r="L8" t="s">
        <v>18</v>
      </c>
    </row>
    <row r="9" spans="1:16" x14ac:dyDescent="0.35">
      <c r="A9" t="s">
        <v>21</v>
      </c>
      <c r="B9" t="s">
        <v>15</v>
      </c>
      <c r="C9" t="s">
        <v>15</v>
      </c>
      <c r="D9">
        <f t="shared" si="0"/>
        <v>-5962.7778999999991</v>
      </c>
      <c r="E9">
        <v>-1.1534</v>
      </c>
      <c r="F9">
        <v>-3.7100000000000001E-2</v>
      </c>
      <c r="G9">
        <v>-0.35389999999999999</v>
      </c>
      <c r="H9">
        <v>-0.84340000000000004</v>
      </c>
      <c r="I9">
        <v>-4.87E-2</v>
      </c>
      <c r="J9">
        <v>-0.372</v>
      </c>
      <c r="K9">
        <v>-8492.1466999999993</v>
      </c>
      <c r="L9">
        <v>-3433.4090999999999</v>
      </c>
    </row>
    <row r="10" spans="1:16" x14ac:dyDescent="0.35">
      <c r="A10" t="s">
        <v>22</v>
      </c>
      <c r="B10" t="s">
        <v>15</v>
      </c>
      <c r="C10" t="s">
        <v>15</v>
      </c>
      <c r="D10">
        <f t="shared" si="0"/>
        <v>-5395.6947</v>
      </c>
      <c r="E10">
        <v>-1.21</v>
      </c>
      <c r="F10">
        <v>-5.7700000000000001E-2</v>
      </c>
      <c r="G10">
        <v>-0.50670000000000004</v>
      </c>
      <c r="H10">
        <v>-0.88119999999999998</v>
      </c>
      <c r="I10">
        <v>-6.3700000000000007E-2</v>
      </c>
      <c r="J10">
        <v>-0.41010000000000002</v>
      </c>
      <c r="L10">
        <v>-5395.6947</v>
      </c>
    </row>
    <row r="11" spans="1:16" x14ac:dyDescent="0.35">
      <c r="A11" t="s">
        <v>23</v>
      </c>
      <c r="B11" t="s">
        <v>15</v>
      </c>
      <c r="C11" t="s">
        <v>15</v>
      </c>
      <c r="D11">
        <f t="shared" si="0"/>
        <v>-225725.52555000002</v>
      </c>
      <c r="E11">
        <v>-1.1473</v>
      </c>
      <c r="F11">
        <v>-5.3499999999999999E-2</v>
      </c>
      <c r="G11">
        <v>-0.34860000000000002</v>
      </c>
      <c r="H11">
        <v>-0.79879999999999995</v>
      </c>
      <c r="I11">
        <v>-6.7500000000000004E-2</v>
      </c>
      <c r="J11">
        <v>-0.35</v>
      </c>
      <c r="K11">
        <v>-259433.2262</v>
      </c>
      <c r="L11">
        <v>-192017.82490000001</v>
      </c>
    </row>
    <row r="12" spans="1:16" x14ac:dyDescent="0.35">
      <c r="A12" t="s">
        <v>24</v>
      </c>
      <c r="B12" t="s">
        <v>12</v>
      </c>
      <c r="C12" t="s">
        <v>12</v>
      </c>
      <c r="D12">
        <f t="shared" si="0"/>
        <v>78.031749999999988</v>
      </c>
      <c r="E12">
        <v>-0.6492</v>
      </c>
      <c r="F12">
        <v>-0.12130000000000001</v>
      </c>
      <c r="G12">
        <v>-0.33889999999999998</v>
      </c>
      <c r="H12">
        <v>-0.58840000000000003</v>
      </c>
      <c r="I12">
        <v>-0.1203</v>
      </c>
      <c r="J12">
        <v>-0.32940000000000003</v>
      </c>
      <c r="K12">
        <v>72.059399999999997</v>
      </c>
      <c r="L12">
        <v>84.004099999999994</v>
      </c>
    </row>
    <row r="13" spans="1:16" x14ac:dyDescent="0.35">
      <c r="A13" t="s">
        <v>25</v>
      </c>
      <c r="B13" t="s">
        <v>15</v>
      </c>
      <c r="C13" t="s">
        <v>15</v>
      </c>
      <c r="D13">
        <f t="shared" si="0"/>
        <v>-214113.36559999999</v>
      </c>
      <c r="E13">
        <v>-0.98650000000000004</v>
      </c>
      <c r="F13">
        <v>-7.4899999999999994E-2</v>
      </c>
      <c r="G13">
        <v>-0.43130000000000002</v>
      </c>
      <c r="H13">
        <v>-0.59289999999999998</v>
      </c>
      <c r="I13">
        <v>-9.2499999999999999E-2</v>
      </c>
      <c r="J13">
        <v>-0.38390000000000002</v>
      </c>
      <c r="K13" t="s">
        <v>18</v>
      </c>
      <c r="L13">
        <v>-214113.36559999999</v>
      </c>
    </row>
    <row r="14" spans="1:16" x14ac:dyDescent="0.35">
      <c r="A14" t="s">
        <v>26</v>
      </c>
      <c r="B14" t="s">
        <v>15</v>
      </c>
      <c r="C14" t="s">
        <v>15</v>
      </c>
      <c r="D14">
        <f t="shared" si="0"/>
        <v>-17818859.4615</v>
      </c>
      <c r="E14">
        <v>-0.70950000000000002</v>
      </c>
      <c r="F14">
        <v>-3.0700000000000002E-2</v>
      </c>
      <c r="G14">
        <v>-0.3705</v>
      </c>
      <c r="H14">
        <v>-0.55149999999999999</v>
      </c>
      <c r="I14">
        <v>-3.3399999999999999E-2</v>
      </c>
      <c r="J14">
        <v>-0.3392</v>
      </c>
      <c r="K14">
        <v>-35139550.903899997</v>
      </c>
      <c r="L14">
        <v>-498168.01909999998</v>
      </c>
    </row>
    <row r="15" spans="1:16" x14ac:dyDescent="0.35">
      <c r="A15" t="s">
        <v>27</v>
      </c>
      <c r="B15" t="s">
        <v>15</v>
      </c>
      <c r="C15" t="s">
        <v>15</v>
      </c>
      <c r="D15">
        <f t="shared" si="0"/>
        <v>-31485904.94695</v>
      </c>
      <c r="E15">
        <v>-1.1521999999999999</v>
      </c>
      <c r="F15">
        <v>-6.4600000000000005E-2</v>
      </c>
      <c r="G15">
        <v>-0.36409999999999998</v>
      </c>
      <c r="H15">
        <v>-0.8175</v>
      </c>
      <c r="I15">
        <v>-8.1100000000000005E-2</v>
      </c>
      <c r="J15">
        <v>-0.37219999999999998</v>
      </c>
      <c r="K15">
        <v>-62793910.135700002</v>
      </c>
      <c r="L15">
        <v>-177899.75820000001</v>
      </c>
    </row>
    <row r="16" spans="1:16" x14ac:dyDescent="0.35">
      <c r="A16" t="s">
        <v>28</v>
      </c>
      <c r="B16" t="s">
        <v>15</v>
      </c>
      <c r="C16" t="s">
        <v>15</v>
      </c>
      <c r="D16">
        <f t="shared" si="0"/>
        <v>-5190.2295999999997</v>
      </c>
      <c r="E16">
        <v>-1.252</v>
      </c>
      <c r="F16">
        <v>-6.0400000000000002E-2</v>
      </c>
      <c r="G16">
        <v>-0.51859999999999995</v>
      </c>
      <c r="H16">
        <v>-0.85270000000000001</v>
      </c>
      <c r="I16">
        <v>-7.0099999999999996E-2</v>
      </c>
      <c r="J16">
        <v>-0.41249999999999998</v>
      </c>
      <c r="L16">
        <v>-5190.2295999999997</v>
      </c>
    </row>
    <row r="17" spans="1:14" x14ac:dyDescent="0.35">
      <c r="A17" t="s">
        <v>29</v>
      </c>
      <c r="B17" t="s">
        <v>15</v>
      </c>
      <c r="C17" t="s">
        <v>12</v>
      </c>
      <c r="D17">
        <f t="shared" si="0"/>
        <v>32.152050000000003</v>
      </c>
      <c r="E17">
        <v>-0.66600000000000004</v>
      </c>
      <c r="F17">
        <v>-8.0399999999999999E-2</v>
      </c>
      <c r="G17">
        <v>-0.29949999999999999</v>
      </c>
      <c r="H17">
        <v>-0.62480000000000002</v>
      </c>
      <c r="I17">
        <v>-9.4500000000000001E-2</v>
      </c>
      <c r="J17">
        <v>-0.32440000000000002</v>
      </c>
      <c r="K17">
        <v>28.484400000000001</v>
      </c>
      <c r="L17">
        <v>35.819699999999997</v>
      </c>
      <c r="N17" t="s">
        <v>115</v>
      </c>
    </row>
    <row r="18" spans="1:14" x14ac:dyDescent="0.35">
      <c r="A18" t="s">
        <v>30</v>
      </c>
      <c r="B18" t="s">
        <v>12</v>
      </c>
      <c r="C18" t="s">
        <v>12</v>
      </c>
      <c r="D18">
        <f t="shared" si="0"/>
        <v>23.686399999999999</v>
      </c>
      <c r="E18">
        <v>-0.67159999999999997</v>
      </c>
      <c r="F18">
        <v>-8.5400000000000004E-2</v>
      </c>
      <c r="G18">
        <v>-0.29659999999999997</v>
      </c>
      <c r="H18">
        <v>-0.66279999999999994</v>
      </c>
      <c r="I18">
        <v>-8.8900000000000007E-2</v>
      </c>
      <c r="J18">
        <v>-0.32640000000000002</v>
      </c>
      <c r="K18">
        <v>30.148800000000001</v>
      </c>
      <c r="L18">
        <v>17.224</v>
      </c>
    </row>
    <row r="19" spans="1:14" x14ac:dyDescent="0.35">
      <c r="A19" t="s">
        <v>31</v>
      </c>
      <c r="B19" t="s">
        <v>15</v>
      </c>
      <c r="C19" t="s">
        <v>15</v>
      </c>
      <c r="D19">
        <f t="shared" si="0"/>
        <v>-5792086.2527000001</v>
      </c>
      <c r="E19">
        <v>-1.2423</v>
      </c>
      <c r="F19">
        <v>-6.7000000000000004E-2</v>
      </c>
      <c r="G19">
        <v>-0.52259999999999995</v>
      </c>
      <c r="H19">
        <v>-0.81559999999999999</v>
      </c>
      <c r="I19">
        <v>-6.9900000000000004E-2</v>
      </c>
      <c r="J19">
        <v>-0.41120000000000001</v>
      </c>
      <c r="K19" t="s">
        <v>18</v>
      </c>
      <c r="L19">
        <v>-5792086.2527000001</v>
      </c>
    </row>
    <row r="20" spans="1:14" x14ac:dyDescent="0.35">
      <c r="A20" t="s">
        <v>32</v>
      </c>
      <c r="B20" t="s">
        <v>15</v>
      </c>
      <c r="C20" t="s">
        <v>15</v>
      </c>
      <c r="D20">
        <f t="shared" si="0"/>
        <v>-6166814.5898000002</v>
      </c>
      <c r="E20">
        <v>-1.2607999999999999</v>
      </c>
      <c r="F20">
        <v>4.3099999999999999E-2</v>
      </c>
      <c r="G20">
        <v>-0.23680000000000001</v>
      </c>
      <c r="H20">
        <v>-57.130499999999998</v>
      </c>
      <c r="I20">
        <v>581.11320000000001</v>
      </c>
      <c r="J20">
        <v>0.376</v>
      </c>
      <c r="K20">
        <v>-13052.365100000001</v>
      </c>
      <c r="L20">
        <v>-12320576.8145</v>
      </c>
    </row>
    <row r="21" spans="1:14" x14ac:dyDescent="0.35">
      <c r="A21" t="s">
        <v>33</v>
      </c>
      <c r="B21" t="s">
        <v>15</v>
      </c>
      <c r="C21" t="s">
        <v>15</v>
      </c>
      <c r="D21" t="e">
        <f t="shared" si="0"/>
        <v>#DIV/0!</v>
      </c>
      <c r="E21">
        <v>-1.3414999999999999</v>
      </c>
      <c r="F21">
        <v>5.5599999999999997E-2</v>
      </c>
      <c r="G21">
        <v>-0.29799999999999999</v>
      </c>
      <c r="H21">
        <v>-0.77739999999999998</v>
      </c>
      <c r="I21">
        <v>8.4500000000000006E-2</v>
      </c>
      <c r="J21">
        <v>-0.35489999999999999</v>
      </c>
      <c r="K21" t="s">
        <v>18</v>
      </c>
      <c r="L21" t="s">
        <v>18</v>
      </c>
    </row>
    <row r="22" spans="1:14" x14ac:dyDescent="0.35">
      <c r="A22" t="s">
        <v>34</v>
      </c>
      <c r="B22" t="s">
        <v>12</v>
      </c>
      <c r="C22" t="s">
        <v>12</v>
      </c>
      <c r="D22">
        <f t="shared" si="0"/>
        <v>-15.41835</v>
      </c>
      <c r="E22">
        <v>-0.65469999999999995</v>
      </c>
      <c r="F22">
        <v>-8.7400000000000005E-2</v>
      </c>
      <c r="G22">
        <v>-0.31369999999999998</v>
      </c>
      <c r="H22">
        <v>-0.61339999999999995</v>
      </c>
      <c r="I22">
        <v>-9.0200000000000002E-2</v>
      </c>
      <c r="J22">
        <v>-0.32929999999999998</v>
      </c>
      <c r="K22">
        <v>33.273400000000002</v>
      </c>
      <c r="L22">
        <v>-64.110100000000003</v>
      </c>
      <c r="N22" t="s">
        <v>116</v>
      </c>
    </row>
    <row r="23" spans="1:14" x14ac:dyDescent="0.35">
      <c r="A23" t="s">
        <v>35</v>
      </c>
      <c r="B23" t="s">
        <v>15</v>
      </c>
      <c r="C23" t="s">
        <v>15</v>
      </c>
      <c r="D23">
        <f t="shared" si="0"/>
        <v>-219381.83420000001</v>
      </c>
      <c r="E23">
        <v>-1.1605000000000001</v>
      </c>
      <c r="F23">
        <v>-7.2499999999999995E-2</v>
      </c>
      <c r="G23">
        <v>-0.33579999999999999</v>
      </c>
      <c r="H23">
        <v>-0.77749999999999997</v>
      </c>
      <c r="I23">
        <v>-8.8599999999999998E-2</v>
      </c>
      <c r="J23">
        <v>-0.34420000000000001</v>
      </c>
      <c r="K23">
        <v>-8564.7045999999991</v>
      </c>
      <c r="L23">
        <v>-430198.96380000003</v>
      </c>
    </row>
    <row r="24" spans="1:14" x14ac:dyDescent="0.35">
      <c r="A24" t="s">
        <v>36</v>
      </c>
      <c r="B24" t="s">
        <v>15</v>
      </c>
      <c r="C24" t="s">
        <v>15</v>
      </c>
      <c r="D24">
        <f t="shared" si="0"/>
        <v>-274621.51685000001</v>
      </c>
      <c r="E24">
        <v>-0.99450000000000005</v>
      </c>
      <c r="F24">
        <v>-2.3599999999999999E-2</v>
      </c>
      <c r="G24">
        <v>-0.33989999999999998</v>
      </c>
      <c r="H24">
        <v>-0.75460000000000005</v>
      </c>
      <c r="I24">
        <v>-3.0200000000000001E-2</v>
      </c>
      <c r="J24">
        <v>-0.36199999999999999</v>
      </c>
      <c r="K24">
        <v>-186679.77100000001</v>
      </c>
      <c r="L24">
        <v>-362563.26270000002</v>
      </c>
    </row>
    <row r="25" spans="1:14" x14ac:dyDescent="0.35">
      <c r="A25" t="s">
        <v>37</v>
      </c>
      <c r="B25" t="s">
        <v>15</v>
      </c>
      <c r="C25" t="s">
        <v>15</v>
      </c>
      <c r="D25">
        <f t="shared" si="0"/>
        <v>-118581.81895</v>
      </c>
      <c r="E25">
        <v>-1.2562</v>
      </c>
      <c r="F25">
        <v>-0.12529999999999999</v>
      </c>
      <c r="G25">
        <v>-0.39500000000000002</v>
      </c>
      <c r="H25">
        <v>-0.58279999999999998</v>
      </c>
      <c r="I25">
        <v>-0.1177</v>
      </c>
      <c r="J25">
        <v>-0.34489999999999998</v>
      </c>
      <c r="K25">
        <v>-18865.884600000001</v>
      </c>
      <c r="L25">
        <v>-218297.75330000001</v>
      </c>
    </row>
    <row r="26" spans="1:14" x14ac:dyDescent="0.35">
      <c r="A26" t="s">
        <v>38</v>
      </c>
      <c r="B26" t="s">
        <v>15</v>
      </c>
      <c r="C26" t="s">
        <v>15</v>
      </c>
      <c r="D26">
        <f t="shared" si="0"/>
        <v>-13800.906199999999</v>
      </c>
      <c r="E26">
        <v>-1.1027</v>
      </c>
      <c r="F26">
        <v>-0.13220000000000001</v>
      </c>
      <c r="G26">
        <v>-0.42420000000000002</v>
      </c>
      <c r="H26">
        <v>-0.60589999999999999</v>
      </c>
      <c r="I26">
        <v>-0.1158</v>
      </c>
      <c r="J26">
        <v>-0.35560000000000003</v>
      </c>
      <c r="K26" t="s">
        <v>18</v>
      </c>
      <c r="L26">
        <v>-13800.906199999999</v>
      </c>
    </row>
    <row r="27" spans="1:14" x14ac:dyDescent="0.35">
      <c r="A27" t="s">
        <v>39</v>
      </c>
      <c r="B27" t="s">
        <v>12</v>
      </c>
      <c r="C27" t="s">
        <v>12</v>
      </c>
      <c r="D27">
        <f t="shared" si="0"/>
        <v>18.460350000000002</v>
      </c>
      <c r="E27">
        <v>-0.66390000000000005</v>
      </c>
      <c r="F27">
        <v>-8.8599999999999998E-2</v>
      </c>
      <c r="G27">
        <v>-0.30430000000000001</v>
      </c>
      <c r="H27">
        <v>-0.63759999999999994</v>
      </c>
      <c r="I27">
        <v>-8.8499999999999995E-2</v>
      </c>
      <c r="J27">
        <v>-0.32769999999999999</v>
      </c>
      <c r="K27">
        <v>24.089300000000001</v>
      </c>
      <c r="L27">
        <v>12.8314</v>
      </c>
    </row>
    <row r="28" spans="1:14" x14ac:dyDescent="0.35">
      <c r="A28" t="s">
        <v>40</v>
      </c>
      <c r="B28" t="s">
        <v>12</v>
      </c>
      <c r="C28" t="s">
        <v>12</v>
      </c>
      <c r="D28">
        <f t="shared" si="0"/>
        <v>41.672899999999998</v>
      </c>
      <c r="E28">
        <v>-0.6643</v>
      </c>
      <c r="F28">
        <v>-7.9899999999999999E-2</v>
      </c>
      <c r="G28">
        <v>-0.30769999999999997</v>
      </c>
      <c r="H28">
        <v>-0.63600000000000001</v>
      </c>
      <c r="I28">
        <v>-8.7499999999999994E-2</v>
      </c>
      <c r="J28">
        <v>-0.32319999999999999</v>
      </c>
      <c r="K28">
        <v>38.227200000000003</v>
      </c>
      <c r="L28">
        <v>45.118600000000001</v>
      </c>
    </row>
    <row r="29" spans="1:14" x14ac:dyDescent="0.35">
      <c r="A29" t="s">
        <v>41</v>
      </c>
      <c r="B29" t="s">
        <v>12</v>
      </c>
      <c r="C29" t="s">
        <v>12</v>
      </c>
      <c r="D29">
        <f t="shared" si="0"/>
        <v>-13.66525</v>
      </c>
      <c r="E29">
        <v>-0.66859999999999997</v>
      </c>
      <c r="F29">
        <v>-5.5899999999999998E-2</v>
      </c>
      <c r="G29">
        <v>-0.29339999999999999</v>
      </c>
      <c r="H29">
        <v>-0.67059999999999997</v>
      </c>
      <c r="I29">
        <v>-6.7799999999999999E-2</v>
      </c>
      <c r="J29">
        <v>-0.33079999999999998</v>
      </c>
      <c r="K29">
        <v>15.506600000000001</v>
      </c>
      <c r="L29">
        <v>-42.8371</v>
      </c>
      <c r="N29" t="s">
        <v>116</v>
      </c>
    </row>
    <row r="30" spans="1:14" x14ac:dyDescent="0.35">
      <c r="A30" t="s">
        <v>42</v>
      </c>
      <c r="B30" t="s">
        <v>12</v>
      </c>
      <c r="C30" t="s">
        <v>12</v>
      </c>
      <c r="D30">
        <f t="shared" si="0"/>
        <v>-132.75145000000001</v>
      </c>
      <c r="E30">
        <v>-0.66169999999999995</v>
      </c>
      <c r="F30">
        <v>-6.0100000000000001E-2</v>
      </c>
      <c r="G30">
        <v>-0.28589999999999999</v>
      </c>
      <c r="H30">
        <v>-0.77639999999999998</v>
      </c>
      <c r="I30">
        <v>-7.2900000000000006E-2</v>
      </c>
      <c r="J30">
        <v>-0.33639999999999998</v>
      </c>
      <c r="K30">
        <v>-73.061300000000003</v>
      </c>
      <c r="L30">
        <v>-192.44159999999999</v>
      </c>
      <c r="N30" t="s">
        <v>116</v>
      </c>
    </row>
    <row r="31" spans="1:14" x14ac:dyDescent="0.35">
      <c r="A31" t="s">
        <v>43</v>
      </c>
      <c r="B31" t="s">
        <v>12</v>
      </c>
      <c r="C31" t="s">
        <v>12</v>
      </c>
      <c r="D31">
        <f t="shared" si="0"/>
        <v>68.541349999999994</v>
      </c>
      <c r="E31">
        <v>-0.65</v>
      </c>
      <c r="F31">
        <v>-0.1235</v>
      </c>
      <c r="G31">
        <v>-0.33650000000000002</v>
      </c>
      <c r="H31">
        <v>-0.60740000000000005</v>
      </c>
      <c r="I31">
        <v>-0.1114</v>
      </c>
      <c r="J31">
        <v>-0.32869999999999999</v>
      </c>
      <c r="K31">
        <v>66.246099999999998</v>
      </c>
      <c r="L31">
        <v>70.836600000000004</v>
      </c>
    </row>
    <row r="32" spans="1:14" x14ac:dyDescent="0.35">
      <c r="A32" t="s">
        <v>44</v>
      </c>
      <c r="B32" t="s">
        <v>15</v>
      </c>
      <c r="C32" t="s">
        <v>15</v>
      </c>
      <c r="D32">
        <f t="shared" si="0"/>
        <v>-27386535.30635</v>
      </c>
      <c r="E32">
        <v>-1.1603000000000001</v>
      </c>
      <c r="F32">
        <v>-7.0599999999999996E-2</v>
      </c>
      <c r="G32">
        <v>-0.42820000000000003</v>
      </c>
      <c r="H32">
        <v>-0.80500000000000005</v>
      </c>
      <c r="I32">
        <v>-7.46E-2</v>
      </c>
      <c r="J32">
        <v>-0.40660000000000002</v>
      </c>
      <c r="K32">
        <v>-53456931.242600001</v>
      </c>
      <c r="L32">
        <v>-1316139.3700999999</v>
      </c>
    </row>
    <row r="33" spans="1:14" x14ac:dyDescent="0.35">
      <c r="A33" t="s">
        <v>45</v>
      </c>
      <c r="B33" t="s">
        <v>12</v>
      </c>
      <c r="C33" t="s">
        <v>15</v>
      </c>
      <c r="D33" t="e">
        <f t="shared" si="0"/>
        <v>#DIV/0!</v>
      </c>
      <c r="E33">
        <v>-1.3529</v>
      </c>
      <c r="F33">
        <v>-9.7299999999999998E-2</v>
      </c>
      <c r="G33">
        <v>-0.44950000000000001</v>
      </c>
      <c r="H33">
        <v>-0.68279999999999996</v>
      </c>
      <c r="I33">
        <v>-9.5500000000000002E-2</v>
      </c>
      <c r="J33">
        <v>-0.371</v>
      </c>
      <c r="L33" t="s">
        <v>18</v>
      </c>
      <c r="N33" t="s">
        <v>117</v>
      </c>
    </row>
    <row r="34" spans="1:14" x14ac:dyDescent="0.35">
      <c r="A34" t="s">
        <v>46</v>
      </c>
      <c r="B34" t="s">
        <v>12</v>
      </c>
      <c r="C34" t="s">
        <v>12</v>
      </c>
      <c r="D34">
        <f t="shared" ref="D34:D65" si="1">AVERAGE(K34:L34)</f>
        <v>42.624399999999994</v>
      </c>
      <c r="E34">
        <v>-0.65480000000000005</v>
      </c>
      <c r="F34">
        <v>-8.7499999999999994E-2</v>
      </c>
      <c r="G34">
        <v>-0.31790000000000002</v>
      </c>
      <c r="H34">
        <v>-0.59240000000000004</v>
      </c>
      <c r="I34">
        <v>-9.1399999999999995E-2</v>
      </c>
      <c r="J34">
        <v>-0.3231</v>
      </c>
      <c r="K34">
        <v>42.827399999999997</v>
      </c>
      <c r="L34">
        <v>42.421399999999998</v>
      </c>
    </row>
    <row r="35" spans="1:14" x14ac:dyDescent="0.35">
      <c r="A35" t="s">
        <v>47</v>
      </c>
      <c r="B35" t="s">
        <v>15</v>
      </c>
      <c r="C35" t="s">
        <v>15</v>
      </c>
      <c r="D35">
        <f t="shared" si="1"/>
        <v>-408451.80210000003</v>
      </c>
      <c r="E35">
        <v>-1.1717</v>
      </c>
      <c r="F35">
        <v>-9.7799999999999998E-2</v>
      </c>
      <c r="G35">
        <v>-0.39300000000000002</v>
      </c>
      <c r="H35">
        <v>-0.78129999999999999</v>
      </c>
      <c r="I35">
        <v>-0.10730000000000001</v>
      </c>
      <c r="J35">
        <v>-0.37390000000000001</v>
      </c>
      <c r="K35">
        <v>-19119.978999999999</v>
      </c>
      <c r="L35">
        <v>-797783.62520000001</v>
      </c>
    </row>
    <row r="36" spans="1:14" x14ac:dyDescent="0.35">
      <c r="A36" t="s">
        <v>48</v>
      </c>
      <c r="B36" t="s">
        <v>12</v>
      </c>
      <c r="C36" t="s">
        <v>15</v>
      </c>
      <c r="D36">
        <f t="shared" si="1"/>
        <v>-149897.71420000002</v>
      </c>
      <c r="E36">
        <v>-1.2663</v>
      </c>
      <c r="F36">
        <v>-0.1116</v>
      </c>
      <c r="G36">
        <v>-0.41170000000000001</v>
      </c>
      <c r="H36">
        <v>-0.59030000000000005</v>
      </c>
      <c r="I36">
        <v>-0.1052</v>
      </c>
      <c r="J36">
        <v>-0.34179999999999999</v>
      </c>
      <c r="K36">
        <v>-697.22720000000004</v>
      </c>
      <c r="L36">
        <v>-299098.20120000001</v>
      </c>
      <c r="N36" t="s">
        <v>118</v>
      </c>
    </row>
    <row r="37" spans="1:14" x14ac:dyDescent="0.35">
      <c r="A37" t="s">
        <v>49</v>
      </c>
      <c r="B37" t="s">
        <v>12</v>
      </c>
      <c r="C37" t="s">
        <v>12</v>
      </c>
      <c r="D37">
        <f t="shared" si="1"/>
        <v>51.164400000000001</v>
      </c>
      <c r="E37">
        <v>-0.66239999999999999</v>
      </c>
      <c r="F37">
        <v>-9.2799999999999994E-2</v>
      </c>
      <c r="G37">
        <v>-0.3085</v>
      </c>
      <c r="H37">
        <v>-0.62919999999999998</v>
      </c>
      <c r="I37">
        <v>-9.3899999999999997E-2</v>
      </c>
      <c r="J37">
        <v>-0.32690000000000002</v>
      </c>
      <c r="K37">
        <v>54.283200000000001</v>
      </c>
      <c r="L37">
        <v>48.0456</v>
      </c>
    </row>
    <row r="38" spans="1:14" x14ac:dyDescent="0.35">
      <c r="A38" t="s">
        <v>50</v>
      </c>
      <c r="B38" t="s">
        <v>15</v>
      </c>
      <c r="C38" t="s">
        <v>15</v>
      </c>
      <c r="D38">
        <f t="shared" si="1"/>
        <v>-2296913.6235000002</v>
      </c>
      <c r="E38">
        <v>-1.2709999999999999</v>
      </c>
      <c r="F38">
        <v>-5.1700000000000003E-2</v>
      </c>
      <c r="G38">
        <v>-0.35589999999999999</v>
      </c>
      <c r="H38">
        <v>-0.70069999999999999</v>
      </c>
      <c r="I38">
        <v>-5.6399999999999999E-2</v>
      </c>
      <c r="J38">
        <v>-0.35549999999999998</v>
      </c>
      <c r="L38">
        <v>-2296913.6235000002</v>
      </c>
    </row>
    <row r="39" spans="1:14" x14ac:dyDescent="0.35">
      <c r="A39" t="s">
        <v>51</v>
      </c>
      <c r="B39" t="s">
        <v>12</v>
      </c>
      <c r="C39" t="s">
        <v>12</v>
      </c>
      <c r="D39">
        <f t="shared" si="1"/>
        <v>2.4430499999999995</v>
      </c>
      <c r="E39">
        <v>-0.6623</v>
      </c>
      <c r="F39">
        <v>-8.1799999999999998E-2</v>
      </c>
      <c r="G39">
        <v>-0.30249999999999999</v>
      </c>
      <c r="H39">
        <v>-0.66600000000000004</v>
      </c>
      <c r="I39">
        <v>-8.1699999999999995E-2</v>
      </c>
      <c r="J39">
        <v>-0.33410000000000001</v>
      </c>
      <c r="K39">
        <v>23.249199999999998</v>
      </c>
      <c r="L39">
        <v>-18.363099999999999</v>
      </c>
    </row>
    <row r="40" spans="1:14" x14ac:dyDescent="0.35">
      <c r="A40" t="s">
        <v>52</v>
      </c>
      <c r="B40" t="s">
        <v>12</v>
      </c>
      <c r="C40" t="s">
        <v>15</v>
      </c>
      <c r="D40">
        <f t="shared" si="1"/>
        <v>-13361.6558</v>
      </c>
      <c r="E40">
        <v>-1.3310999999999999</v>
      </c>
      <c r="F40">
        <v>-1.34E-2</v>
      </c>
      <c r="G40">
        <v>-0.34210000000000002</v>
      </c>
      <c r="H40">
        <v>-0.72699999999999998</v>
      </c>
      <c r="I40">
        <v>-1.61E-2</v>
      </c>
      <c r="J40">
        <v>-0.35639999999999999</v>
      </c>
      <c r="L40">
        <v>-13361.6558</v>
      </c>
      <c r="N40" t="s">
        <v>119</v>
      </c>
    </row>
    <row r="41" spans="1:14" x14ac:dyDescent="0.35">
      <c r="A41" t="s">
        <v>53</v>
      </c>
      <c r="B41" t="s">
        <v>15</v>
      </c>
      <c r="C41" t="s">
        <v>15</v>
      </c>
      <c r="D41">
        <f t="shared" si="1"/>
        <v>-33968931.27595</v>
      </c>
      <c r="E41">
        <v>-1.1500999999999999</v>
      </c>
      <c r="F41">
        <v>-0.1061</v>
      </c>
      <c r="G41">
        <v>-0.38159999999999999</v>
      </c>
      <c r="H41">
        <v>-0.77949999999999997</v>
      </c>
      <c r="I41">
        <v>-0.1164</v>
      </c>
      <c r="J41">
        <v>-0.36909999999999998</v>
      </c>
      <c r="K41">
        <v>-67414713.990400001</v>
      </c>
      <c r="L41">
        <v>-523148.56150000001</v>
      </c>
    </row>
    <row r="42" spans="1:14" x14ac:dyDescent="0.35">
      <c r="A42" t="s">
        <v>54</v>
      </c>
      <c r="B42" t="s">
        <v>12</v>
      </c>
      <c r="C42" t="s">
        <v>12</v>
      </c>
      <c r="D42">
        <f t="shared" si="1"/>
        <v>83.760500000000008</v>
      </c>
      <c r="E42">
        <v>-0.64590000000000003</v>
      </c>
      <c r="F42">
        <v>-0.13239999999999999</v>
      </c>
      <c r="G42">
        <v>-0.3448</v>
      </c>
      <c r="H42">
        <v>-0.58509999999999995</v>
      </c>
      <c r="I42">
        <v>-0.12529999999999999</v>
      </c>
      <c r="J42">
        <v>-0.33050000000000002</v>
      </c>
      <c r="K42">
        <v>85.368099999999998</v>
      </c>
      <c r="L42">
        <v>82.152900000000002</v>
      </c>
    </row>
    <row r="43" spans="1:14" x14ac:dyDescent="0.35">
      <c r="A43" t="s">
        <v>55</v>
      </c>
      <c r="B43" t="s">
        <v>15</v>
      </c>
      <c r="C43" t="s">
        <v>15</v>
      </c>
      <c r="D43">
        <f t="shared" si="1"/>
        <v>-5681.0011999999997</v>
      </c>
      <c r="E43">
        <v>-1.3794</v>
      </c>
      <c r="F43">
        <v>-8.4400000000000003E-2</v>
      </c>
      <c r="G43">
        <v>-0.45450000000000002</v>
      </c>
      <c r="H43">
        <v>-0.72919999999999996</v>
      </c>
      <c r="I43">
        <v>-0.1</v>
      </c>
      <c r="J43">
        <v>-0.39560000000000001</v>
      </c>
      <c r="K43">
        <v>-5681.0011999999997</v>
      </c>
      <c r="L43" t="s">
        <v>18</v>
      </c>
    </row>
    <row r="44" spans="1:14" x14ac:dyDescent="0.35">
      <c r="A44" t="s">
        <v>56</v>
      </c>
      <c r="B44" t="s">
        <v>15</v>
      </c>
      <c r="C44" t="s">
        <v>15</v>
      </c>
      <c r="D44">
        <f t="shared" si="1"/>
        <v>-854402.11800000002</v>
      </c>
      <c r="E44">
        <v>-1.1736</v>
      </c>
      <c r="F44">
        <v>-5.3499999999999999E-2</v>
      </c>
      <c r="G44">
        <v>-0.3977</v>
      </c>
      <c r="H44">
        <v>-0.70960000000000001</v>
      </c>
      <c r="I44">
        <v>-5.7000000000000002E-2</v>
      </c>
      <c r="J44">
        <v>-0.38140000000000002</v>
      </c>
      <c r="K44">
        <v>-854402.11800000002</v>
      </c>
      <c r="L44" t="s">
        <v>18</v>
      </c>
    </row>
    <row r="45" spans="1:14" x14ac:dyDescent="0.35">
      <c r="A45" t="s">
        <v>57</v>
      </c>
      <c r="B45" t="s">
        <v>12</v>
      </c>
      <c r="C45" t="s">
        <v>12</v>
      </c>
      <c r="D45">
        <f t="shared" si="1"/>
        <v>-10.300650000000001</v>
      </c>
      <c r="E45">
        <v>-0.65380000000000005</v>
      </c>
      <c r="F45">
        <v>-7.2800000000000004E-2</v>
      </c>
      <c r="G45">
        <v>-0.30719999999999997</v>
      </c>
      <c r="H45">
        <v>-0.69130000000000003</v>
      </c>
      <c r="I45">
        <v>-7.6999999999999999E-2</v>
      </c>
      <c r="J45">
        <v>-0.3342</v>
      </c>
      <c r="K45">
        <v>17.133800000000001</v>
      </c>
      <c r="L45">
        <v>-37.735100000000003</v>
      </c>
      <c r="N45" t="s">
        <v>120</v>
      </c>
    </row>
    <row r="46" spans="1:14" x14ac:dyDescent="0.35">
      <c r="A46" t="s">
        <v>58</v>
      </c>
      <c r="B46" t="s">
        <v>12</v>
      </c>
      <c r="C46" t="s">
        <v>12</v>
      </c>
      <c r="D46">
        <f t="shared" si="1"/>
        <v>62.379649999999998</v>
      </c>
      <c r="E46">
        <v>-0.64690000000000003</v>
      </c>
      <c r="F46">
        <v>-9.8100000000000007E-2</v>
      </c>
      <c r="G46">
        <v>-0.31319999999999998</v>
      </c>
      <c r="H46">
        <v>-0.60650000000000004</v>
      </c>
      <c r="I46">
        <v>-0.1066</v>
      </c>
      <c r="J46">
        <v>-0.32979999999999998</v>
      </c>
      <c r="K46">
        <v>68.041499999999999</v>
      </c>
      <c r="L46">
        <v>56.717799999999997</v>
      </c>
    </row>
    <row r="47" spans="1:14" x14ac:dyDescent="0.35">
      <c r="A47" t="s">
        <v>59</v>
      </c>
      <c r="B47" t="s">
        <v>12</v>
      </c>
      <c r="C47" t="s">
        <v>12</v>
      </c>
      <c r="D47">
        <f t="shared" si="1"/>
        <v>-29.62715</v>
      </c>
      <c r="E47">
        <v>-0.64870000000000005</v>
      </c>
      <c r="F47">
        <v>-5.67E-2</v>
      </c>
      <c r="G47">
        <v>-0.3029</v>
      </c>
      <c r="H47">
        <v>-0.67420000000000002</v>
      </c>
      <c r="I47">
        <v>-6.2600000000000003E-2</v>
      </c>
      <c r="J47">
        <v>-0.33389999999999997</v>
      </c>
      <c r="K47">
        <v>-6.2659000000000002</v>
      </c>
      <c r="L47">
        <v>-52.988399999999999</v>
      </c>
      <c r="N47" t="s">
        <v>120</v>
      </c>
    </row>
    <row r="48" spans="1:14" x14ac:dyDescent="0.35">
      <c r="A48" t="s">
        <v>60</v>
      </c>
      <c r="B48" t="s">
        <v>15</v>
      </c>
      <c r="C48" t="s">
        <v>15</v>
      </c>
      <c r="D48">
        <f t="shared" si="1"/>
        <v>-1045682.1208</v>
      </c>
      <c r="E48">
        <v>-1.3531</v>
      </c>
      <c r="F48">
        <v>-3.9699999999999999E-2</v>
      </c>
      <c r="G48">
        <v>-0.46310000000000001</v>
      </c>
      <c r="H48">
        <v>-0.70199999999999996</v>
      </c>
      <c r="I48">
        <v>-5.5E-2</v>
      </c>
      <c r="J48">
        <v>-0.3906</v>
      </c>
      <c r="K48" t="s">
        <v>18</v>
      </c>
      <c r="L48">
        <v>-1045682.1208</v>
      </c>
    </row>
    <row r="49" spans="1:14" x14ac:dyDescent="0.35">
      <c r="A49" t="s">
        <v>61</v>
      </c>
      <c r="B49" t="s">
        <v>15</v>
      </c>
      <c r="C49" t="s">
        <v>15</v>
      </c>
      <c r="D49">
        <f t="shared" si="1"/>
        <v>-26675.025900000001</v>
      </c>
      <c r="E49">
        <v>-0.90990000000000004</v>
      </c>
      <c r="F49">
        <v>1.5900000000000001E-2</v>
      </c>
      <c r="G49">
        <v>-0.2913</v>
      </c>
      <c r="H49">
        <v>-0.70479999999999998</v>
      </c>
      <c r="I49">
        <v>3.1399999999999997E-2</v>
      </c>
      <c r="J49">
        <v>-0.34439999999999998</v>
      </c>
      <c r="K49">
        <v>-26675.025900000001</v>
      </c>
      <c r="L49" t="s">
        <v>18</v>
      </c>
    </row>
    <row r="50" spans="1:14" x14ac:dyDescent="0.35">
      <c r="A50" t="s">
        <v>62</v>
      </c>
      <c r="B50" t="s">
        <v>15</v>
      </c>
      <c r="C50" t="s">
        <v>15</v>
      </c>
      <c r="D50">
        <f t="shared" si="1"/>
        <v>-13318.893</v>
      </c>
      <c r="E50">
        <v>-1.2962</v>
      </c>
      <c r="F50">
        <v>-9.9199999999999997E-2</v>
      </c>
      <c r="G50">
        <v>-0.40600000000000003</v>
      </c>
      <c r="H50">
        <v>-0.65349999999999997</v>
      </c>
      <c r="I50">
        <v>-9.4899999999999998E-2</v>
      </c>
      <c r="J50">
        <v>-0.3639</v>
      </c>
      <c r="L50">
        <v>-13318.893</v>
      </c>
    </row>
    <row r="51" spans="1:14" x14ac:dyDescent="0.35">
      <c r="A51" t="s">
        <v>63</v>
      </c>
      <c r="B51" t="s">
        <v>15</v>
      </c>
      <c r="C51" t="s">
        <v>15</v>
      </c>
      <c r="D51">
        <f t="shared" si="1"/>
        <v>-92528.280100000004</v>
      </c>
      <c r="E51">
        <v>-1.2250000000000001</v>
      </c>
      <c r="F51">
        <v>6.7999999999999996E-3</v>
      </c>
      <c r="G51">
        <v>-0.34810000000000002</v>
      </c>
      <c r="H51">
        <v>-0.59350000000000003</v>
      </c>
      <c r="I51">
        <v>8.6E-3</v>
      </c>
      <c r="J51">
        <v>-0.34050000000000002</v>
      </c>
      <c r="K51">
        <v>-173664.94930000001</v>
      </c>
      <c r="L51">
        <v>-11391.6109</v>
      </c>
    </row>
    <row r="52" spans="1:14" x14ac:dyDescent="0.35">
      <c r="A52" t="s">
        <v>64</v>
      </c>
      <c r="B52" t="s">
        <v>15</v>
      </c>
      <c r="C52" t="s">
        <v>15</v>
      </c>
      <c r="D52">
        <f t="shared" si="1"/>
        <v>-7096.6307999999999</v>
      </c>
      <c r="E52">
        <v>-1.3129</v>
      </c>
      <c r="F52">
        <v>8.43E-2</v>
      </c>
      <c r="G52">
        <v>-0.44519999999999998</v>
      </c>
      <c r="H52">
        <v>-0.65259999999999996</v>
      </c>
      <c r="I52">
        <v>0.1573</v>
      </c>
      <c r="J52">
        <v>-0.3659</v>
      </c>
      <c r="K52">
        <v>-7096.6307999999999</v>
      </c>
      <c r="L52" t="s">
        <v>18</v>
      </c>
    </row>
    <row r="53" spans="1:14" x14ac:dyDescent="0.35">
      <c r="A53" t="s">
        <v>65</v>
      </c>
      <c r="B53" t="s">
        <v>12</v>
      </c>
      <c r="C53" t="s">
        <v>15</v>
      </c>
      <c r="D53">
        <f t="shared" si="1"/>
        <v>-151429.91690000001</v>
      </c>
      <c r="E53">
        <v>-1.3264</v>
      </c>
      <c r="F53">
        <v>-8.7400000000000005E-2</v>
      </c>
      <c r="G53">
        <v>-0.3463</v>
      </c>
      <c r="H53">
        <v>-0.70079999999999998</v>
      </c>
      <c r="I53">
        <v>-0.10050000000000001</v>
      </c>
      <c r="J53">
        <v>-0.33850000000000002</v>
      </c>
      <c r="K53">
        <v>-151429.91690000001</v>
      </c>
      <c r="N53" t="s">
        <v>118</v>
      </c>
    </row>
    <row r="54" spans="1:14" x14ac:dyDescent="0.35">
      <c r="A54" t="s">
        <v>66</v>
      </c>
      <c r="B54" t="s">
        <v>15</v>
      </c>
      <c r="C54" t="s">
        <v>15</v>
      </c>
      <c r="D54">
        <f t="shared" si="1"/>
        <v>-11363.232899999999</v>
      </c>
      <c r="E54">
        <v>-0.86890000000000001</v>
      </c>
      <c r="F54">
        <v>-1.3100000000000001E-2</v>
      </c>
      <c r="G54">
        <v>-0.40500000000000003</v>
      </c>
      <c r="H54">
        <v>-0.61839999999999995</v>
      </c>
      <c r="I54">
        <v>-2.23E-2</v>
      </c>
      <c r="J54">
        <v>-0.37959999999999999</v>
      </c>
      <c r="K54">
        <v>-4789.3325999999997</v>
      </c>
      <c r="L54">
        <v>-17937.1332</v>
      </c>
    </row>
    <row r="55" spans="1:14" x14ac:dyDescent="0.35">
      <c r="A55" t="s">
        <v>67</v>
      </c>
      <c r="B55" t="s">
        <v>15</v>
      </c>
      <c r="C55" t="s">
        <v>15</v>
      </c>
      <c r="D55">
        <f t="shared" si="1"/>
        <v>-26997.165249999998</v>
      </c>
      <c r="E55">
        <v>-1.0183</v>
      </c>
      <c r="F55">
        <v>-2.8299999999999999E-2</v>
      </c>
      <c r="G55">
        <v>-0.36870000000000003</v>
      </c>
      <c r="H55">
        <v>-0.70789999999999997</v>
      </c>
      <c r="I55">
        <v>-3.1E-2</v>
      </c>
      <c r="J55">
        <v>-0.36919999999999997</v>
      </c>
      <c r="K55">
        <v>-40212.416599999997</v>
      </c>
      <c r="L55">
        <v>-13781.9139</v>
      </c>
    </row>
    <row r="56" spans="1:14" x14ac:dyDescent="0.35">
      <c r="A56" t="s">
        <v>68</v>
      </c>
      <c r="B56" t="s">
        <v>15</v>
      </c>
      <c r="C56" t="s">
        <v>15</v>
      </c>
      <c r="D56">
        <f t="shared" si="1"/>
        <v>-14231.483</v>
      </c>
      <c r="E56">
        <v>-1.1777</v>
      </c>
      <c r="F56">
        <v>-9.4100000000000003E-2</v>
      </c>
      <c r="G56">
        <v>-0.34699999999999998</v>
      </c>
      <c r="H56">
        <v>-0.78410000000000002</v>
      </c>
      <c r="I56">
        <v>-0.1028</v>
      </c>
      <c r="J56">
        <v>-0.34820000000000001</v>
      </c>
      <c r="K56">
        <v>-14231.483</v>
      </c>
    </row>
    <row r="57" spans="1:14" x14ac:dyDescent="0.35">
      <c r="A57" t="s">
        <v>69</v>
      </c>
      <c r="B57" t="s">
        <v>12</v>
      </c>
      <c r="C57" t="s">
        <v>15</v>
      </c>
      <c r="D57" t="e">
        <f t="shared" si="1"/>
        <v>#DIV/0!</v>
      </c>
      <c r="E57">
        <v>-0.70509999999999995</v>
      </c>
      <c r="F57">
        <v>-0.1119</v>
      </c>
      <c r="G57">
        <v>-0.37390000000000001</v>
      </c>
      <c r="H57">
        <v>-0.6593</v>
      </c>
      <c r="I57">
        <v>-9.5000000000000001E-2</v>
      </c>
      <c r="J57">
        <v>-0.36109999999999998</v>
      </c>
      <c r="K57" t="s">
        <v>18</v>
      </c>
      <c r="L57" t="s">
        <v>18</v>
      </c>
      <c r="N57" t="s">
        <v>121</v>
      </c>
    </row>
    <row r="58" spans="1:14" x14ac:dyDescent="0.35">
      <c r="A58" t="s">
        <v>70</v>
      </c>
      <c r="B58" t="s">
        <v>15</v>
      </c>
      <c r="C58" t="s">
        <v>15</v>
      </c>
      <c r="D58">
        <f t="shared" si="1"/>
        <v>-9769.5565999999999</v>
      </c>
      <c r="E58">
        <v>-1.1696</v>
      </c>
      <c r="F58">
        <v>-5.7200000000000001E-2</v>
      </c>
      <c r="G58">
        <v>-0.41470000000000001</v>
      </c>
      <c r="H58">
        <v>-0.66490000000000005</v>
      </c>
      <c r="I58">
        <v>-6.8500000000000005E-2</v>
      </c>
      <c r="J58">
        <v>-0.36349999999999999</v>
      </c>
      <c r="K58" t="s">
        <v>18</v>
      </c>
      <c r="L58">
        <v>-9769.5565999999999</v>
      </c>
    </row>
    <row r="59" spans="1:14" x14ac:dyDescent="0.35">
      <c r="A59" t="s">
        <v>71</v>
      </c>
      <c r="B59" t="s">
        <v>12</v>
      </c>
      <c r="C59" t="s">
        <v>12</v>
      </c>
      <c r="D59">
        <f t="shared" si="1"/>
        <v>39.690950000000001</v>
      </c>
      <c r="E59">
        <v>-0.65649999999999997</v>
      </c>
      <c r="F59">
        <v>-8.48E-2</v>
      </c>
      <c r="G59">
        <v>-0.31240000000000001</v>
      </c>
      <c r="H59">
        <v>-0.58189999999999997</v>
      </c>
      <c r="I59">
        <v>-9.1800000000000007E-2</v>
      </c>
      <c r="J59">
        <v>-0.31969999999999998</v>
      </c>
      <c r="K59">
        <v>28.655999999999999</v>
      </c>
      <c r="L59">
        <v>50.725900000000003</v>
      </c>
    </row>
    <row r="60" spans="1:14" x14ac:dyDescent="0.35">
      <c r="A60" t="s">
        <v>72</v>
      </c>
      <c r="B60" t="s">
        <v>15</v>
      </c>
      <c r="C60" t="s">
        <v>15</v>
      </c>
      <c r="D60">
        <f t="shared" si="1"/>
        <v>-32943.704599999997</v>
      </c>
      <c r="E60">
        <v>-0.98609999999999998</v>
      </c>
      <c r="F60">
        <v>-8.8499999999999995E-2</v>
      </c>
      <c r="G60">
        <v>-0.35949999999999999</v>
      </c>
      <c r="H60">
        <v>-0.64829999999999999</v>
      </c>
      <c r="I60">
        <v>-8.8800000000000004E-2</v>
      </c>
      <c r="J60">
        <v>-0.3402</v>
      </c>
      <c r="K60">
        <v>-50844.868900000001</v>
      </c>
      <c r="L60">
        <v>-15042.540300000001</v>
      </c>
    </row>
    <row r="61" spans="1:14" x14ac:dyDescent="0.35">
      <c r="A61" t="s">
        <v>73</v>
      </c>
      <c r="B61" t="s">
        <v>15</v>
      </c>
      <c r="C61" t="s">
        <v>15</v>
      </c>
      <c r="D61">
        <f t="shared" si="1"/>
        <v>-65710.125100000005</v>
      </c>
      <c r="E61">
        <v>-1.2203999999999999</v>
      </c>
      <c r="F61">
        <v>-6.9199999999999998E-2</v>
      </c>
      <c r="G61">
        <v>-0.47620000000000001</v>
      </c>
      <c r="H61">
        <v>-0.62570000000000003</v>
      </c>
      <c r="I61">
        <v>-8.3900000000000002E-2</v>
      </c>
      <c r="J61">
        <v>-0.37630000000000002</v>
      </c>
      <c r="K61">
        <v>-65710.125100000005</v>
      </c>
      <c r="L61" t="s">
        <v>18</v>
      </c>
    </row>
    <row r="62" spans="1:14" x14ac:dyDescent="0.35">
      <c r="A62" t="s">
        <v>74</v>
      </c>
      <c r="B62" t="s">
        <v>15</v>
      </c>
      <c r="C62" t="s">
        <v>15</v>
      </c>
      <c r="D62">
        <f t="shared" si="1"/>
        <v>-1031095.7439999999</v>
      </c>
      <c r="E62">
        <v>-1.3352999999999999</v>
      </c>
      <c r="F62">
        <v>-1.4500000000000001E-2</v>
      </c>
      <c r="G62">
        <v>-0.47749999999999998</v>
      </c>
      <c r="H62">
        <v>-0.62849999999999995</v>
      </c>
      <c r="I62">
        <v>-2.4400000000000002E-2</v>
      </c>
      <c r="J62">
        <v>-0.3679</v>
      </c>
      <c r="K62">
        <v>-1031095.7439999999</v>
      </c>
      <c r="L62" t="s">
        <v>18</v>
      </c>
    </row>
    <row r="63" spans="1:14" x14ac:dyDescent="0.35">
      <c r="A63" t="s">
        <v>75</v>
      </c>
      <c r="B63" t="s">
        <v>15</v>
      </c>
      <c r="C63" t="s">
        <v>15</v>
      </c>
      <c r="D63">
        <f t="shared" si="1"/>
        <v>-5215.9525000000003</v>
      </c>
      <c r="E63">
        <v>-1.2423</v>
      </c>
      <c r="F63">
        <v>-2.86E-2</v>
      </c>
      <c r="G63">
        <v>-0.50609999999999999</v>
      </c>
      <c r="H63">
        <v>-0.83209999999999995</v>
      </c>
      <c r="I63">
        <v>-3.5299999999999998E-2</v>
      </c>
      <c r="J63">
        <v>-0.41</v>
      </c>
      <c r="L63">
        <v>-5215.9525000000003</v>
      </c>
    </row>
    <row r="64" spans="1:14" x14ac:dyDescent="0.35">
      <c r="A64" t="s">
        <v>76</v>
      </c>
      <c r="B64" t="s">
        <v>12</v>
      </c>
      <c r="C64" t="s">
        <v>12</v>
      </c>
      <c r="D64">
        <f t="shared" si="1"/>
        <v>81.692250000000001</v>
      </c>
      <c r="E64">
        <v>-0.64770000000000005</v>
      </c>
      <c r="F64">
        <v>-0.13150000000000001</v>
      </c>
      <c r="G64">
        <v>-0.34250000000000003</v>
      </c>
      <c r="H64">
        <v>-0.5877</v>
      </c>
      <c r="I64">
        <v>-0.1234</v>
      </c>
      <c r="J64">
        <v>-0.3301</v>
      </c>
      <c r="K64">
        <v>79.647199999999998</v>
      </c>
      <c r="L64">
        <v>83.737300000000005</v>
      </c>
    </row>
    <row r="65" spans="1:14" x14ac:dyDescent="0.35">
      <c r="A65" t="s">
        <v>77</v>
      </c>
      <c r="B65" t="s">
        <v>15</v>
      </c>
      <c r="C65" t="s">
        <v>15</v>
      </c>
      <c r="D65">
        <f t="shared" si="1"/>
        <v>-1023526.5538</v>
      </c>
      <c r="E65">
        <v>-0.74329999999999996</v>
      </c>
      <c r="F65">
        <v>-3.8600000000000002E-2</v>
      </c>
      <c r="G65">
        <v>-0.36680000000000001</v>
      </c>
      <c r="H65">
        <v>-0.55459999999999998</v>
      </c>
      <c r="I65">
        <v>-4.0899999999999999E-2</v>
      </c>
      <c r="J65">
        <v>-0.33210000000000001</v>
      </c>
      <c r="K65" t="s">
        <v>18</v>
      </c>
      <c r="L65">
        <v>-1023526.5538</v>
      </c>
    </row>
    <row r="66" spans="1:14" x14ac:dyDescent="0.35">
      <c r="A66" t="s">
        <v>78</v>
      </c>
      <c r="B66" t="s">
        <v>15</v>
      </c>
      <c r="C66" t="s">
        <v>15</v>
      </c>
      <c r="D66">
        <f t="shared" ref="D66:D101" si="2">AVERAGE(K66:L66)</f>
        <v>-57312.265050000002</v>
      </c>
      <c r="E66">
        <v>-1.0381</v>
      </c>
      <c r="F66">
        <v>-5.1400000000000001E-2</v>
      </c>
      <c r="G66">
        <v>-0.35699999999999998</v>
      </c>
      <c r="H66">
        <v>-0.77290000000000003</v>
      </c>
      <c r="I66">
        <v>-5.9499999999999997E-2</v>
      </c>
      <c r="J66">
        <v>-0.3659</v>
      </c>
      <c r="K66">
        <v>-30997.902399999999</v>
      </c>
      <c r="L66">
        <v>-83626.627699999997</v>
      </c>
    </row>
    <row r="67" spans="1:14" x14ac:dyDescent="0.35">
      <c r="A67" t="s">
        <v>79</v>
      </c>
      <c r="B67" t="s">
        <v>15</v>
      </c>
      <c r="C67" t="s">
        <v>15</v>
      </c>
      <c r="D67">
        <f t="shared" si="2"/>
        <v>-78786.103799999997</v>
      </c>
      <c r="E67">
        <v>-1.1909000000000001</v>
      </c>
      <c r="F67">
        <v>-9.7000000000000003E-2</v>
      </c>
      <c r="G67">
        <v>-0.34849999999999998</v>
      </c>
      <c r="H67">
        <v>-0.77739999999999998</v>
      </c>
      <c r="I67">
        <v>-0.1026</v>
      </c>
      <c r="J67">
        <v>-0.34429999999999999</v>
      </c>
      <c r="K67">
        <v>-9881.1556999999993</v>
      </c>
      <c r="L67">
        <v>-147691.05189999999</v>
      </c>
    </row>
    <row r="68" spans="1:14" x14ac:dyDescent="0.35">
      <c r="A68" t="s">
        <v>80</v>
      </c>
      <c r="B68" t="s">
        <v>15</v>
      </c>
      <c r="C68" t="s">
        <v>15</v>
      </c>
      <c r="D68">
        <f t="shared" si="2"/>
        <v>-18847.6728</v>
      </c>
      <c r="E68">
        <v>-1.1384000000000001</v>
      </c>
      <c r="F68">
        <v>-0.1026</v>
      </c>
      <c r="G68">
        <v>-0.41930000000000001</v>
      </c>
      <c r="H68">
        <v>-0.67579999999999996</v>
      </c>
      <c r="I68">
        <v>-8.0100000000000005E-2</v>
      </c>
      <c r="J68">
        <v>-0.35759999999999997</v>
      </c>
      <c r="K68" t="s">
        <v>18</v>
      </c>
      <c r="L68">
        <v>-18847.6728</v>
      </c>
    </row>
    <row r="69" spans="1:14" x14ac:dyDescent="0.35">
      <c r="A69" t="s">
        <v>81</v>
      </c>
      <c r="B69" t="s">
        <v>12</v>
      </c>
      <c r="C69" t="s">
        <v>12</v>
      </c>
      <c r="D69">
        <f t="shared" si="2"/>
        <v>-0.48270000000000035</v>
      </c>
      <c r="E69">
        <v>-0.66120000000000001</v>
      </c>
      <c r="F69">
        <v>-7.6999999999999999E-2</v>
      </c>
      <c r="G69">
        <v>-0.31069999999999998</v>
      </c>
      <c r="H69">
        <v>-0.60540000000000005</v>
      </c>
      <c r="I69">
        <v>-9.1200000000000003E-2</v>
      </c>
      <c r="J69">
        <v>-0.32250000000000001</v>
      </c>
      <c r="K69">
        <v>11.0025</v>
      </c>
      <c r="L69">
        <v>-11.9679</v>
      </c>
      <c r="N69" t="s">
        <v>116</v>
      </c>
    </row>
    <row r="70" spans="1:14" x14ac:dyDescent="0.35">
      <c r="A70" t="s">
        <v>82</v>
      </c>
      <c r="B70" t="s">
        <v>12</v>
      </c>
      <c r="C70" t="s">
        <v>12</v>
      </c>
      <c r="D70">
        <f t="shared" si="2"/>
        <v>48.330400000000004</v>
      </c>
      <c r="E70">
        <v>-0.77229999999999999</v>
      </c>
      <c r="F70">
        <v>-0.1145</v>
      </c>
      <c r="G70">
        <v>-0.33700000000000002</v>
      </c>
      <c r="H70">
        <v>-0.60699999999999998</v>
      </c>
      <c r="I70">
        <v>-9.5200000000000007E-2</v>
      </c>
      <c r="J70">
        <v>-0.32779999999999998</v>
      </c>
      <c r="K70">
        <v>14.543799999999999</v>
      </c>
      <c r="L70">
        <v>82.117000000000004</v>
      </c>
    </row>
    <row r="71" spans="1:14" x14ac:dyDescent="0.35">
      <c r="A71" t="s">
        <v>83</v>
      </c>
      <c r="B71" t="s">
        <v>15</v>
      </c>
      <c r="C71" t="s">
        <v>15</v>
      </c>
      <c r="D71">
        <f t="shared" si="2"/>
        <v>-5685.4856</v>
      </c>
      <c r="E71">
        <v>-1.2402</v>
      </c>
      <c r="F71">
        <v>-2.1000000000000001E-2</v>
      </c>
      <c r="G71">
        <v>-0.5101</v>
      </c>
      <c r="H71">
        <v>-0.88039999999999996</v>
      </c>
      <c r="I71">
        <v>-2.3699999999999999E-2</v>
      </c>
      <c r="J71">
        <v>-0.4118</v>
      </c>
      <c r="K71" t="s">
        <v>18</v>
      </c>
      <c r="L71">
        <v>-5685.4856</v>
      </c>
    </row>
    <row r="72" spans="1:14" x14ac:dyDescent="0.35">
      <c r="A72" t="s">
        <v>84</v>
      </c>
      <c r="B72" t="s">
        <v>12</v>
      </c>
      <c r="C72" t="s">
        <v>12</v>
      </c>
      <c r="D72">
        <f t="shared" si="2"/>
        <v>74.106999999999999</v>
      </c>
      <c r="E72">
        <v>-0.64980000000000004</v>
      </c>
      <c r="F72">
        <v>-0.1159</v>
      </c>
      <c r="G72">
        <v>-0.33189999999999997</v>
      </c>
      <c r="H72">
        <v>-0.58689999999999998</v>
      </c>
      <c r="I72">
        <v>-0.1143</v>
      </c>
      <c r="J72">
        <v>-0.3276</v>
      </c>
      <c r="K72">
        <v>70.976399999999998</v>
      </c>
      <c r="L72">
        <v>77.2376</v>
      </c>
    </row>
    <row r="73" spans="1:14" x14ac:dyDescent="0.35">
      <c r="A73" t="s">
        <v>85</v>
      </c>
      <c r="B73" t="s">
        <v>12</v>
      </c>
      <c r="C73" t="s">
        <v>12</v>
      </c>
      <c r="D73">
        <f t="shared" si="2"/>
        <v>-9.0896500000000007</v>
      </c>
      <c r="E73">
        <v>-0.66400000000000003</v>
      </c>
      <c r="F73">
        <v>-7.3800000000000004E-2</v>
      </c>
      <c r="G73">
        <v>-0.29770000000000002</v>
      </c>
      <c r="H73">
        <v>-0.6048</v>
      </c>
      <c r="I73">
        <v>-8.6599999999999996E-2</v>
      </c>
      <c r="J73">
        <v>-0.32450000000000001</v>
      </c>
      <c r="K73">
        <v>25.702999999999999</v>
      </c>
      <c r="L73">
        <v>-43.882300000000001</v>
      </c>
      <c r="N73" t="s">
        <v>116</v>
      </c>
    </row>
    <row r="74" spans="1:14" x14ac:dyDescent="0.35">
      <c r="A74" t="s">
        <v>86</v>
      </c>
      <c r="B74" t="s">
        <v>15</v>
      </c>
      <c r="C74" t="s">
        <v>15</v>
      </c>
      <c r="D74">
        <f t="shared" si="2"/>
        <v>-5120.5054</v>
      </c>
      <c r="E74">
        <v>-1.2576000000000001</v>
      </c>
      <c r="F74">
        <v>-7.9299999999999995E-2</v>
      </c>
      <c r="G74">
        <v>-0.4461</v>
      </c>
      <c r="H74">
        <v>-0.68259999999999998</v>
      </c>
      <c r="I74">
        <v>-9.4600000000000004E-2</v>
      </c>
      <c r="J74">
        <v>-0.379</v>
      </c>
      <c r="K74">
        <v>-5120.5054</v>
      </c>
    </row>
    <row r="75" spans="1:14" x14ac:dyDescent="0.35">
      <c r="A75" t="s">
        <v>87</v>
      </c>
      <c r="B75" t="s">
        <v>15</v>
      </c>
      <c r="C75" t="s">
        <v>15</v>
      </c>
      <c r="D75" t="e">
        <f t="shared" si="2"/>
        <v>#DIV/0!</v>
      </c>
      <c r="E75">
        <v>-0.88870000000000005</v>
      </c>
      <c r="F75">
        <v>7.0300000000000001E-2</v>
      </c>
      <c r="G75">
        <v>-0.33379999999999999</v>
      </c>
      <c r="H75">
        <v>-0.5988</v>
      </c>
      <c r="I75">
        <v>0.19109999999999999</v>
      </c>
      <c r="J75">
        <v>-0.34549999999999997</v>
      </c>
      <c r="L75" t="s">
        <v>18</v>
      </c>
    </row>
    <row r="76" spans="1:14" x14ac:dyDescent="0.35">
      <c r="A76" t="s">
        <v>88</v>
      </c>
      <c r="B76" t="s">
        <v>15</v>
      </c>
      <c r="C76" t="s">
        <v>15</v>
      </c>
      <c r="D76">
        <f t="shared" si="2"/>
        <v>-472224.81170000002</v>
      </c>
      <c r="E76">
        <v>-1.1966000000000001</v>
      </c>
      <c r="F76">
        <v>-8.4500000000000006E-2</v>
      </c>
      <c r="G76">
        <v>-0.36399999999999999</v>
      </c>
      <c r="H76">
        <v>-0.77900000000000003</v>
      </c>
      <c r="I76">
        <v>-9.8699999999999996E-2</v>
      </c>
      <c r="J76">
        <v>-0.35680000000000001</v>
      </c>
      <c r="K76">
        <v>-18389.057499999999</v>
      </c>
      <c r="L76">
        <v>-926060.56590000005</v>
      </c>
    </row>
    <row r="77" spans="1:14" x14ac:dyDescent="0.35">
      <c r="A77" t="s">
        <v>89</v>
      </c>
      <c r="B77" t="s">
        <v>12</v>
      </c>
      <c r="C77" t="s">
        <v>12</v>
      </c>
      <c r="D77">
        <f t="shared" si="2"/>
        <v>62.005800000000001</v>
      </c>
      <c r="E77">
        <v>-0.64580000000000004</v>
      </c>
      <c r="F77">
        <v>-0.1028</v>
      </c>
      <c r="G77">
        <v>-0.31680000000000003</v>
      </c>
      <c r="H77">
        <v>-0.57479999999999998</v>
      </c>
      <c r="I77">
        <v>-0.1081</v>
      </c>
      <c r="J77">
        <v>-0.32129999999999997</v>
      </c>
      <c r="K77">
        <v>63.392400000000002</v>
      </c>
      <c r="L77">
        <v>60.619199999999999</v>
      </c>
    </row>
    <row r="78" spans="1:14" x14ac:dyDescent="0.35">
      <c r="A78" t="s">
        <v>90</v>
      </c>
      <c r="B78" t="s">
        <v>15</v>
      </c>
      <c r="C78" t="s">
        <v>15</v>
      </c>
      <c r="D78">
        <f t="shared" si="2"/>
        <v>-500232.51919999998</v>
      </c>
      <c r="E78">
        <v>-0.71609999999999996</v>
      </c>
      <c r="F78">
        <v>-5.5199999999999999E-2</v>
      </c>
      <c r="G78">
        <v>-0.36370000000000002</v>
      </c>
      <c r="H78">
        <v>-0.55649999999999999</v>
      </c>
      <c r="I78">
        <v>-5.67E-2</v>
      </c>
      <c r="J78">
        <v>-0.33090000000000003</v>
      </c>
      <c r="K78" t="s">
        <v>18</v>
      </c>
      <c r="L78">
        <v>-500232.51919999998</v>
      </c>
    </row>
    <row r="79" spans="1:14" x14ac:dyDescent="0.35">
      <c r="A79" t="s">
        <v>91</v>
      </c>
      <c r="B79" t="s">
        <v>12</v>
      </c>
      <c r="C79" t="s">
        <v>12</v>
      </c>
      <c r="D79">
        <f t="shared" si="2"/>
        <v>84.514200000000002</v>
      </c>
      <c r="E79">
        <v>-0.64659999999999995</v>
      </c>
      <c r="F79">
        <v>-0.1187</v>
      </c>
      <c r="G79">
        <v>-0.34079999999999999</v>
      </c>
      <c r="H79">
        <v>-0.58630000000000004</v>
      </c>
      <c r="I79">
        <v>-0.1201</v>
      </c>
      <c r="J79">
        <v>-0.3296</v>
      </c>
      <c r="K79">
        <v>84.847700000000003</v>
      </c>
      <c r="L79">
        <v>84.180700000000002</v>
      </c>
    </row>
    <row r="80" spans="1:14" x14ac:dyDescent="0.35">
      <c r="A80" t="s">
        <v>92</v>
      </c>
      <c r="B80" t="s">
        <v>15</v>
      </c>
      <c r="C80" t="s">
        <v>15</v>
      </c>
      <c r="D80">
        <f t="shared" si="2"/>
        <v>-185247.1476</v>
      </c>
      <c r="E80">
        <v>-1.1762999999999999</v>
      </c>
      <c r="F80">
        <v>-6.9599999999999995E-2</v>
      </c>
      <c r="G80">
        <v>-0.41920000000000002</v>
      </c>
      <c r="H80">
        <v>-0.78669999999999995</v>
      </c>
      <c r="I80">
        <v>-8.4699999999999998E-2</v>
      </c>
      <c r="J80">
        <v>-0.39040000000000002</v>
      </c>
      <c r="K80">
        <v>-23269.169300000001</v>
      </c>
      <c r="L80">
        <v>-347225.12589999998</v>
      </c>
    </row>
    <row r="81" spans="1:14" x14ac:dyDescent="0.35">
      <c r="A81" t="s">
        <v>93</v>
      </c>
      <c r="B81" t="s">
        <v>15</v>
      </c>
      <c r="C81" t="s">
        <v>12</v>
      </c>
      <c r="D81">
        <f t="shared" si="2"/>
        <v>-6489353.5160999997</v>
      </c>
      <c r="E81">
        <v>-0.65569999999999995</v>
      </c>
      <c r="F81">
        <v>-0.111</v>
      </c>
      <c r="G81">
        <v>-0.32190000000000002</v>
      </c>
      <c r="H81">
        <v>-0.58440000000000003</v>
      </c>
      <c r="I81">
        <v>-0.1153</v>
      </c>
      <c r="J81">
        <v>-0.32519999999999999</v>
      </c>
      <c r="K81">
        <v>69.112499999999997</v>
      </c>
      <c r="L81">
        <v>-12978776.1447</v>
      </c>
      <c r="N81" t="s">
        <v>122</v>
      </c>
    </row>
    <row r="82" spans="1:14" x14ac:dyDescent="0.35">
      <c r="A82" t="s">
        <v>94</v>
      </c>
      <c r="B82" t="s">
        <v>15</v>
      </c>
      <c r="C82" t="s">
        <v>15</v>
      </c>
      <c r="D82">
        <f t="shared" si="2"/>
        <v>-42720.451500000003</v>
      </c>
      <c r="E82">
        <v>-1.2722</v>
      </c>
      <c r="F82">
        <v>-3.8300000000000001E-2</v>
      </c>
      <c r="G82">
        <v>-0.35949999999999999</v>
      </c>
      <c r="H82">
        <v>-0.7581</v>
      </c>
      <c r="I82">
        <v>-4.7800000000000002E-2</v>
      </c>
      <c r="J82">
        <v>-0.3634</v>
      </c>
      <c r="K82">
        <v>-42720.451500000003</v>
      </c>
    </row>
    <row r="83" spans="1:14" x14ac:dyDescent="0.35">
      <c r="A83" t="s">
        <v>95</v>
      </c>
      <c r="B83" t="s">
        <v>15</v>
      </c>
      <c r="C83" t="s">
        <v>15</v>
      </c>
      <c r="D83">
        <f t="shared" si="2"/>
        <v>-1214397.4375</v>
      </c>
      <c r="E83">
        <v>-0.79020000000000001</v>
      </c>
      <c r="F83">
        <v>-3.3399999999999999E-2</v>
      </c>
      <c r="G83">
        <v>-0.37790000000000001</v>
      </c>
      <c r="H83">
        <v>-0.57789999999999997</v>
      </c>
      <c r="I83">
        <v>-5.0500000000000003E-2</v>
      </c>
      <c r="J83">
        <v>-0.3543</v>
      </c>
      <c r="K83" t="s">
        <v>18</v>
      </c>
      <c r="L83">
        <v>-1214397.4375</v>
      </c>
    </row>
    <row r="84" spans="1:14" x14ac:dyDescent="0.35">
      <c r="A84" t="s">
        <v>96</v>
      </c>
      <c r="B84" t="s">
        <v>15</v>
      </c>
      <c r="C84" t="s">
        <v>15</v>
      </c>
      <c r="D84">
        <f t="shared" si="2"/>
        <v>-62625.257799999999</v>
      </c>
      <c r="E84">
        <v>-1.1406000000000001</v>
      </c>
      <c r="F84">
        <v>-0.1031</v>
      </c>
      <c r="G84">
        <v>-0.36770000000000003</v>
      </c>
      <c r="H84">
        <v>-0.77649999999999997</v>
      </c>
      <c r="I84">
        <v>-9.9199999999999997E-2</v>
      </c>
      <c r="J84">
        <v>-0.35680000000000001</v>
      </c>
      <c r="K84">
        <v>-25002.120999999999</v>
      </c>
      <c r="L84">
        <v>-100248.3946</v>
      </c>
    </row>
    <row r="85" spans="1:14" x14ac:dyDescent="0.35">
      <c r="A85" t="s">
        <v>97</v>
      </c>
      <c r="B85" t="s">
        <v>12</v>
      </c>
      <c r="C85" t="s">
        <v>12</v>
      </c>
      <c r="D85">
        <f t="shared" si="2"/>
        <v>42.0642</v>
      </c>
      <c r="E85">
        <v>-0.64500000000000002</v>
      </c>
      <c r="F85">
        <v>-8.6599999999999996E-2</v>
      </c>
      <c r="G85">
        <v>-0.3125</v>
      </c>
      <c r="H85">
        <v>-0.59789999999999999</v>
      </c>
      <c r="I85">
        <v>-9.2399999999999996E-2</v>
      </c>
      <c r="J85">
        <v>-0.31979999999999997</v>
      </c>
      <c r="K85">
        <v>48.859000000000002</v>
      </c>
      <c r="L85">
        <v>35.269399999999997</v>
      </c>
    </row>
    <row r="86" spans="1:14" x14ac:dyDescent="0.35">
      <c r="A86" t="s">
        <v>98</v>
      </c>
      <c r="B86" t="s">
        <v>12</v>
      </c>
      <c r="C86" t="s">
        <v>12</v>
      </c>
      <c r="D86">
        <f t="shared" si="2"/>
        <v>51.614800000000002</v>
      </c>
      <c r="E86">
        <v>-0.64359999999999995</v>
      </c>
      <c r="F86">
        <v>-9.4700000000000006E-2</v>
      </c>
      <c r="G86">
        <v>-0.31780000000000003</v>
      </c>
      <c r="H86">
        <v>-0.57650000000000001</v>
      </c>
      <c r="I86">
        <v>-9.7299999999999998E-2</v>
      </c>
      <c r="J86">
        <v>-0.32090000000000002</v>
      </c>
      <c r="K86">
        <v>54.190600000000003</v>
      </c>
      <c r="L86">
        <v>49.039000000000001</v>
      </c>
    </row>
    <row r="87" spans="1:14" x14ac:dyDescent="0.35">
      <c r="A87" t="s">
        <v>99</v>
      </c>
      <c r="B87" t="s">
        <v>12</v>
      </c>
      <c r="C87" t="s">
        <v>12</v>
      </c>
      <c r="D87">
        <f t="shared" si="2"/>
        <v>78.872050000000002</v>
      </c>
      <c r="E87">
        <v>-0.65439999999999998</v>
      </c>
      <c r="F87">
        <v>-0.1275</v>
      </c>
      <c r="G87">
        <v>-0.33889999999999998</v>
      </c>
      <c r="H87">
        <v>-0.59370000000000001</v>
      </c>
      <c r="I87">
        <v>-0.1226</v>
      </c>
      <c r="J87">
        <v>-0.33150000000000002</v>
      </c>
      <c r="K87">
        <v>70.893699999999995</v>
      </c>
      <c r="L87">
        <v>86.850399999999993</v>
      </c>
    </row>
    <row r="88" spans="1:14" x14ac:dyDescent="0.35">
      <c r="A88" t="s">
        <v>100</v>
      </c>
      <c r="B88" t="s">
        <v>15</v>
      </c>
      <c r="C88" t="s">
        <v>15</v>
      </c>
      <c r="D88" t="e">
        <f t="shared" si="2"/>
        <v>#DIV/0!</v>
      </c>
      <c r="E88">
        <v>-1.3773</v>
      </c>
      <c r="F88">
        <v>-0.1081</v>
      </c>
      <c r="G88">
        <v>-0.3876</v>
      </c>
      <c r="H88">
        <v>-0.5766</v>
      </c>
      <c r="I88">
        <v>-0.1169</v>
      </c>
      <c r="J88">
        <v>-0.34620000000000001</v>
      </c>
      <c r="K88" t="s">
        <v>18</v>
      </c>
    </row>
    <row r="89" spans="1:14" x14ac:dyDescent="0.35">
      <c r="A89" t="s">
        <v>101</v>
      </c>
      <c r="B89" t="s">
        <v>15</v>
      </c>
      <c r="C89" t="s">
        <v>15</v>
      </c>
      <c r="D89">
        <f t="shared" si="2"/>
        <v>-1054863.2452499999</v>
      </c>
      <c r="E89">
        <v>-1.1207</v>
      </c>
      <c r="F89">
        <v>-3.49E-2</v>
      </c>
      <c r="G89">
        <v>-0.32790000000000002</v>
      </c>
      <c r="H89">
        <v>-0.86929999999999996</v>
      </c>
      <c r="I89">
        <v>-4.07E-2</v>
      </c>
      <c r="J89">
        <v>-0.35320000000000001</v>
      </c>
      <c r="K89">
        <v>-24065.3789</v>
      </c>
      <c r="L89">
        <v>-2085661.1115999999</v>
      </c>
    </row>
    <row r="90" spans="1:14" x14ac:dyDescent="0.35">
      <c r="A90" t="s">
        <v>102</v>
      </c>
      <c r="B90" t="s">
        <v>15</v>
      </c>
      <c r="C90" t="s">
        <v>12</v>
      </c>
      <c r="D90">
        <f t="shared" si="2"/>
        <v>83.957999999999998</v>
      </c>
      <c r="E90">
        <v>-0.64900000000000002</v>
      </c>
      <c r="F90">
        <v>-0.13139999999999999</v>
      </c>
      <c r="G90">
        <v>-0.34229999999999999</v>
      </c>
      <c r="H90">
        <v>-0.58320000000000005</v>
      </c>
      <c r="I90">
        <v>-0.12520000000000001</v>
      </c>
      <c r="J90">
        <v>-0.32940000000000003</v>
      </c>
      <c r="K90">
        <v>81.761399999999995</v>
      </c>
      <c r="L90">
        <v>86.154600000000002</v>
      </c>
      <c r="N90" t="s">
        <v>123</v>
      </c>
    </row>
    <row r="91" spans="1:14" x14ac:dyDescent="0.35">
      <c r="A91" t="s">
        <v>103</v>
      </c>
      <c r="B91" t="s">
        <v>12</v>
      </c>
      <c r="C91" t="s">
        <v>12</v>
      </c>
      <c r="D91">
        <f t="shared" si="2"/>
        <v>38.218350000000001</v>
      </c>
      <c r="E91">
        <v>-0.65690000000000004</v>
      </c>
      <c r="F91">
        <v>-0.1042</v>
      </c>
      <c r="G91">
        <v>-0.31169999999999998</v>
      </c>
      <c r="H91">
        <v>-0.65629999999999999</v>
      </c>
      <c r="I91">
        <v>-0.1043</v>
      </c>
      <c r="J91">
        <v>-0.33410000000000001</v>
      </c>
      <c r="K91">
        <v>39.322099999999999</v>
      </c>
      <c r="L91">
        <v>37.114600000000003</v>
      </c>
    </row>
    <row r="92" spans="1:14" x14ac:dyDescent="0.35">
      <c r="A92" t="s">
        <v>104</v>
      </c>
      <c r="B92" t="s">
        <v>12</v>
      </c>
      <c r="C92" t="s">
        <v>15</v>
      </c>
      <c r="D92">
        <f t="shared" si="2"/>
        <v>-290353.69595000002</v>
      </c>
      <c r="E92">
        <v>-1.0551999999999999</v>
      </c>
      <c r="F92">
        <v>-6.7799999999999999E-2</v>
      </c>
      <c r="G92">
        <v>-0.35549999999999998</v>
      </c>
      <c r="H92">
        <v>-0.81759999999999999</v>
      </c>
      <c r="I92">
        <v>-6.13E-2</v>
      </c>
      <c r="J92">
        <v>-0.34799999999999998</v>
      </c>
      <c r="K92">
        <v>-75356.339000000007</v>
      </c>
      <c r="L92">
        <v>-505351.05290000001</v>
      </c>
    </row>
    <row r="93" spans="1:14" x14ac:dyDescent="0.35">
      <c r="A93" t="s">
        <v>105</v>
      </c>
      <c r="B93" t="s">
        <v>12</v>
      </c>
      <c r="C93" t="s">
        <v>12</v>
      </c>
      <c r="D93">
        <f t="shared" si="2"/>
        <v>38.56955</v>
      </c>
      <c r="E93">
        <v>-0.65720000000000001</v>
      </c>
      <c r="F93">
        <v>-9.3899999999999997E-2</v>
      </c>
      <c r="G93">
        <v>-0.31869999999999998</v>
      </c>
      <c r="H93">
        <v>-0.62990000000000002</v>
      </c>
      <c r="I93">
        <v>-9.11E-2</v>
      </c>
      <c r="J93">
        <v>-0.3306</v>
      </c>
      <c r="K93">
        <v>28.585999999999999</v>
      </c>
      <c r="L93">
        <v>48.553100000000001</v>
      </c>
    </row>
    <row r="94" spans="1:14" x14ac:dyDescent="0.35">
      <c r="A94" t="s">
        <v>106</v>
      </c>
      <c r="B94" t="s">
        <v>12</v>
      </c>
      <c r="C94" t="s">
        <v>12</v>
      </c>
      <c r="D94">
        <f t="shared" si="2"/>
        <v>-9.2142499999999998</v>
      </c>
      <c r="E94">
        <v>-0.65190000000000003</v>
      </c>
      <c r="F94">
        <v>-7.9299999999999995E-2</v>
      </c>
      <c r="G94">
        <v>-0.30470000000000003</v>
      </c>
      <c r="H94">
        <v>-0.57720000000000005</v>
      </c>
      <c r="I94">
        <v>-9.1700000000000004E-2</v>
      </c>
      <c r="J94">
        <v>-0.317</v>
      </c>
      <c r="K94">
        <v>-22.223099999999999</v>
      </c>
      <c r="L94">
        <v>3.7946</v>
      </c>
      <c r="N94" t="s">
        <v>116</v>
      </c>
    </row>
    <row r="95" spans="1:14" x14ac:dyDescent="0.35">
      <c r="A95" t="s">
        <v>107</v>
      </c>
      <c r="B95" t="s">
        <v>15</v>
      </c>
      <c r="C95" t="s">
        <v>15</v>
      </c>
      <c r="D95">
        <f t="shared" si="2"/>
        <v>-3190194.7066000002</v>
      </c>
      <c r="E95">
        <v>-1.2863</v>
      </c>
      <c r="F95">
        <v>-9.74E-2</v>
      </c>
      <c r="G95">
        <v>-0.36549999999999999</v>
      </c>
      <c r="H95">
        <v>-0.62539999999999996</v>
      </c>
      <c r="I95">
        <v>-9.4100000000000003E-2</v>
      </c>
      <c r="J95">
        <v>-0.34620000000000001</v>
      </c>
      <c r="K95">
        <v>-11982.476500000001</v>
      </c>
      <c r="L95">
        <v>-6368406.9367000004</v>
      </c>
    </row>
    <row r="96" spans="1:14" x14ac:dyDescent="0.35">
      <c r="A96" t="s">
        <v>108</v>
      </c>
      <c r="B96" t="s">
        <v>12</v>
      </c>
      <c r="C96" t="s">
        <v>15</v>
      </c>
      <c r="D96">
        <f t="shared" si="2"/>
        <v>-396623.5955</v>
      </c>
      <c r="E96">
        <v>-1.2847</v>
      </c>
      <c r="F96">
        <v>-0.1174</v>
      </c>
      <c r="G96">
        <v>-0.3795</v>
      </c>
      <c r="H96">
        <v>-0.58520000000000005</v>
      </c>
      <c r="I96">
        <v>-0.1191</v>
      </c>
      <c r="J96">
        <v>-0.34210000000000002</v>
      </c>
      <c r="K96">
        <v>-792007.31420000002</v>
      </c>
      <c r="L96">
        <v>-1239.8768</v>
      </c>
    </row>
    <row r="97" spans="1:14" x14ac:dyDescent="0.35">
      <c r="A97" t="s">
        <v>109</v>
      </c>
      <c r="B97" t="s">
        <v>12</v>
      </c>
      <c r="C97" t="s">
        <v>12</v>
      </c>
      <c r="D97">
        <f t="shared" si="2"/>
        <v>-17.245799999999999</v>
      </c>
      <c r="E97">
        <v>-0.66080000000000005</v>
      </c>
      <c r="F97">
        <v>-8.0199999999999994E-2</v>
      </c>
      <c r="G97">
        <v>-0.30370000000000003</v>
      </c>
      <c r="H97">
        <v>-0.65359999999999996</v>
      </c>
      <c r="I97">
        <v>-8.0199999999999994E-2</v>
      </c>
      <c r="J97">
        <v>-0.33200000000000002</v>
      </c>
      <c r="L97">
        <v>-17.245799999999999</v>
      </c>
      <c r="N97" t="s">
        <v>116</v>
      </c>
    </row>
    <row r="98" spans="1:14" x14ac:dyDescent="0.35">
      <c r="A98" t="s">
        <v>110</v>
      </c>
      <c r="B98" t="s">
        <v>15</v>
      </c>
      <c r="C98" t="s">
        <v>15</v>
      </c>
      <c r="D98">
        <f t="shared" si="2"/>
        <v>-29.478899999999999</v>
      </c>
      <c r="E98">
        <v>-1.2426999999999999</v>
      </c>
      <c r="F98">
        <v>-8.8300000000000003E-2</v>
      </c>
      <c r="G98">
        <v>-0.34949999999999998</v>
      </c>
      <c r="H98">
        <v>-0.66259999999999997</v>
      </c>
      <c r="I98">
        <v>-8.7900000000000006E-2</v>
      </c>
      <c r="J98">
        <v>-0.34549999999999997</v>
      </c>
      <c r="K98">
        <v>-29.478899999999999</v>
      </c>
      <c r="L98" t="s">
        <v>18</v>
      </c>
    </row>
    <row r="99" spans="1:14" x14ac:dyDescent="0.35">
      <c r="A99" t="s">
        <v>111</v>
      </c>
      <c r="B99" t="s">
        <v>12</v>
      </c>
      <c r="C99" t="s">
        <v>12</v>
      </c>
      <c r="D99">
        <f t="shared" si="2"/>
        <v>70.43235</v>
      </c>
      <c r="E99">
        <v>-0.68810000000000004</v>
      </c>
      <c r="F99">
        <v>-0.1198</v>
      </c>
      <c r="G99">
        <v>-0.32979999999999998</v>
      </c>
      <c r="H99">
        <v>-0.61460000000000004</v>
      </c>
      <c r="I99">
        <v>-0.1193</v>
      </c>
      <c r="J99">
        <v>-0.32819999999999999</v>
      </c>
      <c r="K99">
        <v>64.569999999999993</v>
      </c>
      <c r="L99">
        <v>76.294700000000006</v>
      </c>
    </row>
    <row r="100" spans="1:14" x14ac:dyDescent="0.35">
      <c r="A100" t="s">
        <v>112</v>
      </c>
      <c r="B100" t="s">
        <v>15</v>
      </c>
      <c r="C100" t="s">
        <v>15</v>
      </c>
      <c r="D100">
        <f t="shared" si="2"/>
        <v>-9397.1291999999994</v>
      </c>
      <c r="E100">
        <v>-1.1613</v>
      </c>
      <c r="F100">
        <v>-8.8800000000000004E-2</v>
      </c>
      <c r="G100">
        <v>-0.3493</v>
      </c>
      <c r="H100">
        <v>-0.71130000000000004</v>
      </c>
      <c r="I100">
        <v>-8.6800000000000002E-2</v>
      </c>
      <c r="J100">
        <v>-0.35349999999999998</v>
      </c>
      <c r="K100" t="s">
        <v>18</v>
      </c>
      <c r="L100">
        <v>-9397.1291999999994</v>
      </c>
    </row>
    <row r="101" spans="1:14" ht="19" customHeight="1" x14ac:dyDescent="0.35">
      <c r="A101" t="s">
        <v>113</v>
      </c>
      <c r="B101" t="s">
        <v>15</v>
      </c>
      <c r="C101" t="s">
        <v>12</v>
      </c>
      <c r="D101">
        <f t="shared" si="2"/>
        <v>57.957499999999996</v>
      </c>
      <c r="E101">
        <v>-0.70009999999999994</v>
      </c>
      <c r="F101">
        <v>-0.1193</v>
      </c>
      <c r="G101">
        <v>-0.3347</v>
      </c>
      <c r="H101">
        <v>-0.65290000000000004</v>
      </c>
      <c r="I101">
        <v>-0.11210000000000001</v>
      </c>
      <c r="J101">
        <v>-0.34310000000000002</v>
      </c>
      <c r="K101">
        <v>50.389800000000001</v>
      </c>
      <c r="L101">
        <v>65.525199999999998</v>
      </c>
      <c r="N101" s="2" t="s">
        <v>124</v>
      </c>
    </row>
  </sheetData>
  <conditionalFormatting sqref="B2:B101">
    <cfRule type="cellIs" dxfId="8" priority="1" operator="equal">
      <formula>$C$4</formula>
    </cfRule>
    <cfRule type="cellIs" dxfId="7" priority="2" operator="equal">
      <formula>$C$2</formula>
    </cfRule>
  </conditionalFormatting>
  <conditionalFormatting sqref="C1:C1048576">
    <cfRule type="cellIs" dxfId="6" priority="3" operator="equal">
      <formula>$C$4</formula>
    </cfRule>
    <cfRule type="cellIs" dxfId="5" priority="4" operator="equal">
      <formula>$C$2</formula>
    </cfRule>
  </conditionalFormatting>
  <conditionalFormatting sqref="D1:D1048576">
    <cfRule type="cellIs" dxfId="4" priority="5" operator="lessThan">
      <formula>0</formula>
    </cfRule>
    <cfRule type="cellIs" dxfId="3" priority="6" operator="greaterThan">
      <formula>0</formula>
    </cfRule>
    <cfRule type="cellIs" dxfId="2" priority="7" operator="greaterThan">
      <formula>0</formula>
    </cfRule>
    <cfRule type="cellIs" dxfId="1" priority="8" operator="lessThan">
      <formula>0</formula>
    </cfRule>
    <cfRule type="cellIs" dxfId="0" priority="9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Kamal</cp:lastModifiedBy>
  <dcterms:created xsi:type="dcterms:W3CDTF">2025-06-29T06:36:33Z</dcterms:created>
  <dcterms:modified xsi:type="dcterms:W3CDTF">2025-07-24T13:44:52Z</dcterms:modified>
</cp:coreProperties>
</file>